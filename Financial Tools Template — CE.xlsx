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hri nyoret nyoret bntr 💰BUDGE" sheetId="1" r:id="rId5"/>
    <sheet state="hidden" name="Copy of 💰BUDGET PLAN💰" sheetId="2" r:id="rId6"/>
    <sheet state="hidden" name="with VIDEOTRON💰BUDGET PLAN💰" sheetId="3" r:id="rId7"/>
    <sheet state="visible" name="💰BUDGET PLAN💰" sheetId="4" r:id="rId8"/>
    <sheet state="visible" name="💸BUDGET REALIZED💸" sheetId="5" r:id="rId9"/>
    <sheet state="visible" name="🚨CASHFLOW🚨" sheetId="6" r:id="rId10"/>
    <sheet state="visible" name="💎MERCH💎" sheetId="7" r:id="rId11"/>
    <sheet state="visible" name="TRACKING 💎MERCH💎" sheetId="8" r:id="rId12"/>
    <sheet state="visible" name="Reimbursement" sheetId="9" r:id="rId13"/>
    <sheet state="visible" name="READY STOCK MERCH" sheetId="10" r:id="rId14"/>
    <sheet state="visible" name="Sheet9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4">
      <text>
        <t xml:space="preserve">A3</t>
      </text>
    </comment>
    <comment authorId="0" ref="G124">
      <text>
        <t xml:space="preserve">A3</t>
      </text>
    </comment>
    <comment authorId="0" ref="B19">
      <text>
        <t xml:space="preserve">blind box keychain
stickers</t>
      </text>
    </comment>
    <comment authorId="0" ref="B18">
      <text>
        <t xml:space="preserve">button pins
stickers</t>
      </text>
    </comment>
    <comment authorId="0" ref="L124">
      <text>
        <t xml:space="preserve">A3</t>
      </text>
    </comment>
    <comment authorId="0" ref="B17">
      <text>
        <t xml:space="preserve">button pins
blind box keychain
stickers</t>
      </text>
    </comment>
    <comment authorId="0" ref="B16">
      <text>
        <t xml:space="preserve">baseball cap
baseball shirt
button pins
blind box keychain
stickers</t>
      </text>
    </comment>
    <comment authorId="0" ref="G19">
      <text>
        <t xml:space="preserve">blind box keychain
stickers</t>
      </text>
    </comment>
    <comment authorId="0" ref="B78">
      <text>
        <t xml:space="preserve">A3 Berwarna</t>
      </text>
    </comment>
    <comment authorId="0" ref="G18">
      <text>
        <t xml:space="preserve">button pins
stickers</t>
      </text>
    </comment>
    <comment authorId="0" ref="G17">
      <text>
        <t xml:space="preserve">button pins
blind box keychain
stickers</t>
      </text>
    </comment>
    <comment authorId="0" ref="G16">
      <text>
        <t xml:space="preserve">baseball cap
baseball shirt
button pins
blind box keychain
stickers</t>
      </text>
    </comment>
    <comment authorId="0" ref="L19">
      <text>
        <t xml:space="preserve">blind box keychain
stickers</t>
      </text>
    </comment>
    <comment authorId="0" ref="G78">
      <text>
        <t xml:space="preserve">A3 Berwarna</t>
      </text>
    </comment>
    <comment authorId="0" ref="L18">
      <text>
        <t xml:space="preserve">button pins
stickers</t>
      </text>
    </comment>
    <comment authorId="0" ref="L17">
      <text>
        <t xml:space="preserve">button pins
blind box keychain
stickers</t>
      </text>
    </comment>
    <comment authorId="0" ref="L16">
      <text>
        <t xml:space="preserve">baseball cap
baseball shirt
button pins
blind box keychain
stickers</t>
      </text>
    </comment>
    <comment authorId="0" ref="L78">
      <text>
        <t xml:space="preserve">A3 Berwarna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9">
      <text>
        <t xml:space="preserve">A3</t>
      </text>
    </comment>
    <comment authorId="0" ref="G129">
      <text>
        <t xml:space="preserve">A3</t>
      </text>
    </comment>
    <comment authorId="0" ref="L129">
      <text>
        <t xml:space="preserve">A3</t>
      </text>
    </comment>
    <comment authorId="0" ref="B20">
      <text>
        <t xml:space="preserve">blind box keychain
stickers</t>
      </text>
    </comment>
    <comment authorId="0" ref="B19">
      <text>
        <t xml:space="preserve">button pins
stickers</t>
      </text>
    </comment>
    <comment authorId="0" ref="B83">
      <text>
        <t xml:space="preserve">A3 Berwarna</t>
      </text>
    </comment>
    <comment authorId="0" ref="B18">
      <text>
        <t xml:space="preserve">button pins
blind box keychain
stickers</t>
      </text>
    </comment>
    <comment authorId="0" ref="B17">
      <text>
        <t xml:space="preserve">baseball cap
baseball shirt
button pins
blind box keychain
stickers</t>
      </text>
    </comment>
    <comment authorId="0" ref="G20">
      <text>
        <t xml:space="preserve">blind box keychain
stickers</t>
      </text>
    </comment>
    <comment authorId="0" ref="G19">
      <text>
        <t xml:space="preserve">button pins
stickers</t>
      </text>
    </comment>
    <comment authorId="0" ref="G83">
      <text>
        <t xml:space="preserve">A3 Berwarna</t>
      </text>
    </comment>
    <comment authorId="0" ref="G18">
      <text>
        <t xml:space="preserve">button pins
blind box keychain
stickers</t>
      </text>
    </comment>
    <comment authorId="0" ref="B173">
      <text>
        <t xml:space="preserve">35 seat / bus</t>
      </text>
    </comment>
    <comment authorId="0" ref="G17">
      <text>
        <t xml:space="preserve">baseball cap
baseball shirt
button pins
blind box keychain
stickers</t>
      </text>
    </comment>
    <comment authorId="0" ref="L20">
      <text>
        <t xml:space="preserve">blind box keychain
stickers</t>
      </text>
    </comment>
    <comment authorId="0" ref="L19">
      <text>
        <t xml:space="preserve">button pins
stickers</t>
      </text>
    </comment>
    <comment authorId="0" ref="L83">
      <text>
        <t xml:space="preserve">A3 Berwarna</t>
      </text>
    </comment>
    <comment authorId="0" ref="L18">
      <text>
        <t xml:space="preserve">button pins
blind box keychain
stickers</t>
      </text>
    </comment>
    <comment authorId="0" ref="G173">
      <text>
        <t xml:space="preserve">35 seat / bus</t>
      </text>
    </comment>
    <comment authorId="0" ref="L17">
      <text>
        <t xml:space="preserve">baseball cap
baseball shirt
button pins
blind box keychain
stickers</t>
      </text>
    </comment>
    <comment authorId="0" ref="L173">
      <text>
        <t xml:space="preserve">35 seat / bus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9">
      <text>
        <t xml:space="preserve">A3</t>
      </text>
    </comment>
    <comment authorId="0" ref="G129">
      <text>
        <t xml:space="preserve">A3</t>
      </text>
    </comment>
    <comment authorId="0" ref="L129">
      <text>
        <t xml:space="preserve">A3</t>
      </text>
    </comment>
    <comment authorId="0" ref="B20">
      <text>
        <t xml:space="preserve">blind box keychain
stickers</t>
      </text>
    </comment>
    <comment authorId="0" ref="B19">
      <text>
        <t xml:space="preserve">button pins
stickers</t>
      </text>
    </comment>
    <comment authorId="0" ref="B83">
      <text>
        <t xml:space="preserve">A3 Berwarna</t>
      </text>
    </comment>
    <comment authorId="0" ref="B18">
      <text>
        <t xml:space="preserve">button pins
blind box keychain
stickers</t>
      </text>
    </comment>
    <comment authorId="0" ref="B17">
      <text>
        <t xml:space="preserve">baseball cap
baseball shirt
button pins
blind box keychain
stickers</t>
      </text>
    </comment>
    <comment authorId="0" ref="G20">
      <text>
        <t xml:space="preserve">blind box keychain
stickers</t>
      </text>
    </comment>
    <comment authorId="0" ref="G19">
      <text>
        <t xml:space="preserve">button pins
stickers</t>
      </text>
    </comment>
    <comment authorId="0" ref="G83">
      <text>
        <t xml:space="preserve">A3 Berwarna</t>
      </text>
    </comment>
    <comment authorId="0" ref="G18">
      <text>
        <t xml:space="preserve">button pins
blind box keychain
stickers</t>
      </text>
    </comment>
    <comment authorId="0" ref="B173">
      <text>
        <t xml:space="preserve">35 seat / bus</t>
      </text>
    </comment>
    <comment authorId="0" ref="G17">
      <text>
        <t xml:space="preserve">baseball cap
baseball shirt
button pins
blind box keychain
stickers</t>
      </text>
    </comment>
    <comment authorId="0" ref="L20">
      <text>
        <t xml:space="preserve">blind box keychain
stickers</t>
      </text>
    </comment>
    <comment authorId="0" ref="L19">
      <text>
        <t xml:space="preserve">button pins
stickers</t>
      </text>
    </comment>
    <comment authorId="0" ref="L83">
      <text>
        <t xml:space="preserve">A3 Berwarna</t>
      </text>
    </comment>
    <comment authorId="0" ref="L18">
      <text>
        <t xml:space="preserve">button pins
blind box keychain
stickers</t>
      </text>
    </comment>
    <comment authorId="0" ref="G173">
      <text>
        <t xml:space="preserve">35 seat / bus</t>
      </text>
    </comment>
    <comment authorId="0" ref="L17">
      <text>
        <t xml:space="preserve">baseball cap
baseball shirt
button pins
blind box keychain
stickers</t>
      </text>
    </comment>
    <comment authorId="0" ref="L173">
      <text>
        <t xml:space="preserve">35 seat / bus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A3 Berwarna</t>
      </text>
    </comment>
    <comment authorId="0" ref="L170">
      <text>
        <t xml:space="preserve">35 seat / bus</t>
      </text>
    </comment>
    <comment authorId="0" ref="G81">
      <text>
        <t xml:space="preserve">A3 Berwarna</t>
      </text>
    </comment>
    <comment authorId="0" ref="B170">
      <text>
        <t xml:space="preserve">35 seat / bus</t>
      </text>
    </comment>
    <comment authorId="0" ref="L81">
      <text>
        <t xml:space="preserve">A3 Berwarna</t>
      </text>
    </comment>
    <comment authorId="0" ref="G170">
      <text>
        <t xml:space="preserve">35 seat / bus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">
      <text>
        <t xml:space="preserve">in order to see the average total % pnl growth, please clear the unnecessary period % growth if the project has finished</t>
      </text>
    </comment>
    <comment authorId="0" ref="J101">
      <text>
        <t xml:space="preserve">Baseball Shirt</t>
      </text>
    </comment>
    <comment authorId="0" ref="AB101">
      <text>
        <t xml:space="preserve">Baseball Shirt</t>
      </text>
    </comment>
    <comment authorId="0" ref="S101">
      <text>
        <t xml:space="preserve">Baseball Shirt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0">
      <text>
        <t xml:space="preserve">12 A3+</t>
      </text>
    </comment>
    <comment authorId="0" ref="D29">
      <text>
        <t xml:space="preserve">9 A3+
</t>
      </text>
    </comment>
    <comment authorId="0" ref="H30">
      <text>
        <t xml:space="preserve">12 A3+</t>
      </text>
    </comment>
    <comment authorId="0" ref="G44">
      <text>
        <t xml:space="preserve">packaging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format 11/5/24</t>
      </text>
    </comment>
    <comment authorId="0" ref="I3">
      <text>
        <t xml:space="preserve">Total money receipts</t>
      </text>
    </comment>
    <comment authorId="0" ref="J4">
      <text>
        <t xml:space="preserve">Total unpaid</t>
      </text>
    </comment>
    <comment authorId="0" ref="J3">
      <text>
        <t xml:space="preserve">Total paid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For Restock tracking</t>
      </text>
    </comment>
    <comment authorId="0" ref="F1">
      <text>
        <t xml:space="preserve">For TF</t>
      </text>
    </comment>
    <comment authorId="0" ref="G1">
      <text>
        <t xml:space="preserve">For Cash</t>
      </text>
    </comment>
  </commentList>
</comments>
</file>

<file path=xl/sharedStrings.xml><?xml version="1.0" encoding="utf-8"?>
<sst xmlns="http://schemas.openxmlformats.org/spreadsheetml/2006/main" count="1881" uniqueCount="297">
  <si>
    <t>💔Pessimistic Plan💔</t>
  </si>
  <si>
    <t>🤍Realistic Plan🤍</t>
  </si>
  <si>
    <t>💗Optimistic Plan💗</t>
  </si>
  <si>
    <t>REVENUE BREAKDOWN</t>
  </si>
  <si>
    <t>(revenue stream)</t>
  </si>
  <si>
    <t>P</t>
  </si>
  <si>
    <t>Q</t>
  </si>
  <si>
    <t>Total</t>
  </si>
  <si>
    <t>Delegates Fee</t>
  </si>
  <si>
    <t>Commitment Fee</t>
  </si>
  <si>
    <t>Working Capital from MC</t>
  </si>
  <si>
    <t>Working Capital from LC</t>
  </si>
  <si>
    <t>[Merchandise] Baseball Cap</t>
  </si>
  <si>
    <t>[Merchandise] Baseball Shirt</t>
  </si>
  <si>
    <t>[Merchandise] T-Shirt</t>
  </si>
  <si>
    <t>[Merchandise] Stickers</t>
  </si>
  <si>
    <t>[Merchandise] Blind Box Keychain</t>
  </si>
  <si>
    <t>[Merchandise] Keychain AIESEC</t>
  </si>
  <si>
    <t>[Merchandise] Button Pins</t>
  </si>
  <si>
    <t>[Merchandise] Bundle A</t>
  </si>
  <si>
    <t>[Merchandise] Bundle B</t>
  </si>
  <si>
    <t>[Merchandise] Bundle C</t>
  </si>
  <si>
    <t>[Merchandise] Bundle D</t>
  </si>
  <si>
    <t>Photobooth Profit Sharing</t>
  </si>
  <si>
    <t>Add ons Photo Strips</t>
  </si>
  <si>
    <t>Profit CC Corner</t>
  </si>
  <si>
    <t>LCP Pre-Meeting Delegates Fee</t>
  </si>
  <si>
    <t>TOTAL REVENUE</t>
  </si>
  <si>
    <t>Expenses</t>
  </si>
  <si>
    <t>TOTAL EXPENSES</t>
  </si>
  <si>
    <t>NET PROFIT</t>
  </si>
  <si>
    <t>EXPENSE BREAKDOWN</t>
  </si>
  <si>
    <t xml:space="preserve"> </t>
  </si>
  <si>
    <t>Lanyard CDT</t>
  </si>
  <si>
    <t>Baju CDT</t>
  </si>
  <si>
    <t>Baju Coach + MC WLL</t>
  </si>
  <si>
    <t>[Merchandise] Keychain</t>
  </si>
  <si>
    <t>[CC Corner[ Yupi Hati</t>
  </si>
  <si>
    <t>[CC Corner] Yupi</t>
  </si>
  <si>
    <t>[CC Corner] Beng Beng 17g</t>
  </si>
  <si>
    <t>[CC Corner] Astor Singles 14g</t>
  </si>
  <si>
    <t>[CC Corner] Permen Relaxa</t>
  </si>
  <si>
    <t>[CC Corner] Keripik Chitato 15g</t>
  </si>
  <si>
    <t>[CC Corner] Keripik Qtela 20g</t>
  </si>
  <si>
    <t>[CC Corner] Momogi 12g</t>
  </si>
  <si>
    <t>[CC Corner] Mie Kremes 18g</t>
  </si>
  <si>
    <t>[CC Corner] Basreng 50g</t>
  </si>
  <si>
    <t>[CC Corner] Makaroni 50g</t>
  </si>
  <si>
    <t>[CC Corner] Keripik Tempe 50g</t>
  </si>
  <si>
    <t>[CC Corner] Keripik Seblak 50g</t>
  </si>
  <si>
    <t>[CC Corner] Choco Pie 28g</t>
  </si>
  <si>
    <t>Return Commitment Fee</t>
  </si>
  <si>
    <t>Monthly Card Charge</t>
  </si>
  <si>
    <t>Bank Admin Fee</t>
  </si>
  <si>
    <t>Cash Withdrawal for CC Corner</t>
  </si>
  <si>
    <t>Emergency Cost</t>
  </si>
  <si>
    <t>TOTAL EXPENSE</t>
  </si>
  <si>
    <t>[CC Party] Amplop putih kecil</t>
  </si>
  <si>
    <t>[CC Party] Print puzzle (kertas karton)</t>
  </si>
  <si>
    <t>[CC Party] print card makanan</t>
  </si>
  <si>
    <t>[CC Party] Jahe</t>
  </si>
  <si>
    <t xml:space="preserve">[CC Party] Kunyit </t>
  </si>
  <si>
    <t>[CC Party] Lengkuas/Laos</t>
  </si>
  <si>
    <t>[CC Party] Kencur</t>
  </si>
  <si>
    <t xml:space="preserve">[CC Party] Serai/Sereh </t>
  </si>
  <si>
    <t>[CC Party] Daun Jeruk</t>
  </si>
  <si>
    <t>[CC Party] Kayu manis</t>
  </si>
  <si>
    <t>[CC Party] Ketumbar</t>
  </si>
  <si>
    <t>[CC Party] Cengkeh</t>
  </si>
  <si>
    <t>[CC Party] Kemiri</t>
  </si>
  <si>
    <t>[CC Party] Sertificate RnR</t>
  </si>
  <si>
    <t>[CC Party] Gift RnR</t>
  </si>
  <si>
    <t xml:space="preserve">[FACI Needs] </t>
  </si>
  <si>
    <t>Print Cover Cue Card + Laminating</t>
  </si>
  <si>
    <t>[WLL]  Karton A1</t>
  </si>
  <si>
    <t>[WLL] Cat Warna Pink 100ml</t>
  </si>
  <si>
    <t>[WLL] Cat Warna Kuning 100ml</t>
  </si>
  <si>
    <t>[WLL] Cat Warna Hijau 100ml</t>
  </si>
  <si>
    <t>[WLL] Cat Warna Biru Muda 100ml</t>
  </si>
  <si>
    <t>[WLL] Print Proposal Sekolah</t>
  </si>
  <si>
    <t>[WLL] ThinWall 100ml</t>
  </si>
  <si>
    <t>[WLL] Plaque for School</t>
  </si>
  <si>
    <t xml:space="preserve">[WLL] Trash Bag </t>
  </si>
  <si>
    <t>[Global Village] Print Stamp Card Custom</t>
  </si>
  <si>
    <t xml:space="preserve"> Printing Placard NLF &amp; NLM</t>
  </si>
  <si>
    <t>[Program] Logistics</t>
  </si>
  <si>
    <t>Delegates ID Card</t>
  </si>
  <si>
    <t>Sugarcubes Envelope (100 pcs)</t>
  </si>
  <si>
    <t>Delegates Kit</t>
  </si>
  <si>
    <t xml:space="preserve">[Medicine] Mylanta </t>
  </si>
  <si>
    <t>[Medicine] Sanmol</t>
  </si>
  <si>
    <t xml:space="preserve">[Medicine] Tolak Angin </t>
  </si>
  <si>
    <t>[Medicine] Minyak Kayu Putih (S)</t>
  </si>
  <si>
    <t>[Medicine] Decolgen FX</t>
  </si>
  <si>
    <t xml:space="preserve">[Medicine] Hansaplast </t>
  </si>
  <si>
    <t>[Medicine] Betadine (S)</t>
  </si>
  <si>
    <t>[Medicine] Kain Kassa</t>
  </si>
  <si>
    <t>[Medicine] Hansaplast Plester Roll</t>
  </si>
  <si>
    <t>[Medicine] Pads / Pembalut</t>
  </si>
  <si>
    <t xml:space="preserve"> Double Tape</t>
  </si>
  <si>
    <t xml:space="preserve"> Print Foto + Nama Delegates</t>
  </si>
  <si>
    <t>Print Nametag Delegates</t>
  </si>
  <si>
    <t xml:space="preserve"> Stickers RnR</t>
  </si>
  <si>
    <t xml:space="preserve"> RnR Certificate</t>
  </si>
  <si>
    <t xml:space="preserve"> RnR Gift</t>
  </si>
  <si>
    <t xml:space="preserve">Stamp Duty (E-Materai) </t>
  </si>
  <si>
    <t>Stamp Duty (Materai Fisik)</t>
  </si>
  <si>
    <t>Hardcopy Proposal</t>
  </si>
  <si>
    <t>Hardcopy LoA</t>
  </si>
  <si>
    <t>Hardcopy Invoice</t>
  </si>
  <si>
    <t>Shipping Fee</t>
  </si>
  <si>
    <t>Hardcopy Partnership Letter</t>
  </si>
  <si>
    <t>Mineral Water bottle</t>
  </si>
  <si>
    <t>Keynote Speakers Consumption</t>
  </si>
  <si>
    <t>Partner Consumption</t>
  </si>
  <si>
    <t>Frame for Sertificate Keynotes Speaker</t>
  </si>
  <si>
    <t>Print Certificate</t>
  </si>
  <si>
    <t>Karton 70x100</t>
  </si>
  <si>
    <t>Karton 68x78</t>
  </si>
  <si>
    <t>Kardus Besar size kulkas</t>
  </si>
  <si>
    <t xml:space="preserve">Lensa Canon 24-70MM F/2.8L </t>
  </si>
  <si>
    <t>Lensa Fuji 16-55mm</t>
  </si>
  <si>
    <t>Rent Camera</t>
  </si>
  <si>
    <t>Daun Palem</t>
  </si>
  <si>
    <t>Karton Padi A2</t>
  </si>
  <si>
    <t>Print Dekor Pangung (Gapura) A2</t>
  </si>
  <si>
    <t>Daun Ilalang</t>
  </si>
  <si>
    <t>Print Dekor Panggung Front View A3</t>
  </si>
  <si>
    <t>Unexpected Expense</t>
  </si>
  <si>
    <t>Unexpected Revenue</t>
  </si>
  <si>
    <t>Hotels &amp; Venue</t>
  </si>
  <si>
    <t>CDT+LCP Pre-Meeting Homestay</t>
  </si>
  <si>
    <t>CDT Consumptions (20x makan)</t>
  </si>
  <si>
    <t>Ballroom fee</t>
  </si>
  <si>
    <t>Videotron</t>
  </si>
  <si>
    <t>Chair Transportation</t>
  </si>
  <si>
    <t>LCP Pre-Meeting Consumption (9x makan)</t>
  </si>
  <si>
    <t>Air Galon</t>
  </si>
  <si>
    <t>Trash Bag</t>
  </si>
  <si>
    <t>Transportation and Mobilization Fee</t>
  </si>
  <si>
    <t>International Delegates Fee</t>
  </si>
  <si>
    <t>Financial Partner</t>
  </si>
  <si>
    <t>[CC Corner] Print Paper for Drawing Photobooth</t>
  </si>
  <si>
    <t>[CC Corner] Drawing Marker</t>
  </si>
  <si>
    <t>CC Party] Kencur</t>
  </si>
  <si>
    <t>CC Party] Daun Jeruk</t>
  </si>
  <si>
    <t>CC Party] Kayu manis</t>
  </si>
  <si>
    <t>CC Party] Ketumbar</t>
  </si>
  <si>
    <t>CC Party] Cengkeh</t>
  </si>
  <si>
    <t>CC Party] Kemiri</t>
  </si>
  <si>
    <t>CC Party] Sertificate RnR</t>
  </si>
  <si>
    <t xml:space="preserve"> Stamp Duty (Materai Fisik)</t>
  </si>
  <si>
    <t xml:space="preserve"> Hardcopy Proposal</t>
  </si>
  <si>
    <t xml:space="preserve"> Hardcopy LoA</t>
  </si>
  <si>
    <t xml:space="preserve"> Hardcopy Invoice</t>
  </si>
  <si>
    <t xml:space="preserve"> Shipping Fee</t>
  </si>
  <si>
    <t xml:space="preserve"> Keynote Speakers Consumption</t>
  </si>
  <si>
    <t xml:space="preserve"> Partner Consumption</t>
  </si>
  <si>
    <t xml:space="preserve"> Frame for Sertificate Keynotes Speaker</t>
  </si>
  <si>
    <t>CC Room D-1</t>
  </si>
  <si>
    <t>CDT Consumptions (15x makan)</t>
  </si>
  <si>
    <t>WLL Bus</t>
  </si>
  <si>
    <t xml:space="preserve"> Hotels &amp; Venue</t>
  </si>
  <si>
    <t xml:space="preserve"> CDT+LCP Pre-Meeting Homestay</t>
  </si>
  <si>
    <t>💰Budget Plan💰</t>
  </si>
  <si>
    <t>Pessimistic Plan</t>
  </si>
  <si>
    <t>Moderate Plan</t>
  </si>
  <si>
    <t>Optimistic Plan</t>
  </si>
  <si>
    <t>DIVISI A</t>
  </si>
  <si>
    <t>Budget Realized</t>
  </si>
  <si>
    <t>💲REVENUE💲</t>
  </si>
  <si>
    <t>% Realization</t>
  </si>
  <si>
    <t>Pessimistic</t>
  </si>
  <si>
    <t>Realistic</t>
  </si>
  <si>
    <t>Optimistic</t>
  </si>
  <si>
    <t>R</t>
  </si>
  <si>
    <t>O</t>
  </si>
  <si>
    <t>📉EXPENSE📉</t>
  </si>
  <si>
    <t>💲NET PROFIT💲</t>
  </si>
  <si>
    <t>ACARA</t>
  </si>
  <si>
    <t>banner</t>
  </si>
  <si>
    <t>TOTAL</t>
  </si>
  <si>
    <t>Divisi A</t>
  </si>
  <si>
    <r>
      <rPr>
        <rFont val="Sofia Sans Semi Condensed"/>
        <b/>
        <color rgb="FFFFFFFF"/>
        <sz val="26.0"/>
      </rPr>
      <t>⚠️ FILL IN THE</t>
    </r>
    <r>
      <rPr>
        <rFont val="Sofia Sans Semi Condensed"/>
        <b/>
        <i/>
        <color rgb="FFFFFFFF"/>
        <sz val="26.0"/>
        <u/>
      </rPr>
      <t xml:space="preserve"> COLOURLESS</t>
    </r>
    <r>
      <rPr>
        <rFont val="Sofia Sans Semi Condensed"/>
        <b/>
        <color rgb="FFFFFFFF"/>
        <sz val="26.0"/>
      </rPr>
      <t xml:space="preserve"> CELL ONLY⚠️</t>
    </r>
  </si>
  <si>
    <r>
      <rPr>
        <rFont val="Sofia Sans Semi Condensed"/>
        <b/>
        <color rgb="FFFFFFFF"/>
        <sz val="26.0"/>
      </rPr>
      <t>⚠️ FILL IN THE</t>
    </r>
    <r>
      <rPr>
        <rFont val="Sofia Sans Semi Condensed"/>
        <b/>
        <i/>
        <color rgb="FFFFFFFF"/>
        <sz val="26.0"/>
        <u/>
      </rPr>
      <t xml:space="preserve"> COLOURLESS</t>
    </r>
    <r>
      <rPr>
        <rFont val="Sofia Sans Semi Condensed"/>
        <b/>
        <color rgb="FFFFFFFF"/>
        <sz val="26.0"/>
      </rPr>
      <t xml:space="preserve"> CELL ONLY⚠️</t>
    </r>
  </si>
  <si>
    <r>
      <rPr>
        <rFont val="Sofia Sans Semi Condensed"/>
        <b/>
        <color rgb="FFFFFFFF"/>
        <sz val="26.0"/>
      </rPr>
      <t>⚠️ FILL IN THE</t>
    </r>
    <r>
      <rPr>
        <rFont val="Sofia Sans Semi Condensed"/>
        <b/>
        <i/>
        <color rgb="FFFFFFFF"/>
        <sz val="26.0"/>
        <u/>
      </rPr>
      <t xml:space="preserve"> COLOURLESS</t>
    </r>
    <r>
      <rPr>
        <rFont val="Sofia Sans Semi Condensed"/>
        <b/>
        <color rgb="FFFFFFFF"/>
        <sz val="26.0"/>
      </rPr>
      <t xml:space="preserve"> CELL ONLY⚠️</t>
    </r>
  </si>
  <si>
    <t>CASH FLOW</t>
  </si>
  <si>
    <t>👑Cash Flow👑</t>
  </si>
  <si>
    <t>Cash Growth</t>
  </si>
  <si>
    <t>Date</t>
  </si>
  <si>
    <t>Description</t>
  </si>
  <si>
    <t>Division</t>
  </si>
  <si>
    <t>Cash In</t>
  </si>
  <si>
    <t>Cash Out</t>
  </si>
  <si>
    <t>Transaction Proof (Attach the link and make it accessible)</t>
  </si>
  <si>
    <t>Cash Balance</t>
  </si>
  <si>
    <t>Ending Cash Balance</t>
  </si>
  <si>
    <t>Q1</t>
  </si>
  <si>
    <t>Q2</t>
  </si>
  <si>
    <t>Q3</t>
  </si>
  <si>
    <t>Period</t>
  </si>
  <si>
    <t>Total Cash In</t>
  </si>
  <si>
    <t>Total Cash Out</t>
  </si>
  <si>
    <t>% Growth</t>
  </si>
  <si>
    <t>Beli bahan modal kain</t>
  </si>
  <si>
    <t>Q4</t>
  </si>
  <si>
    <t>Merchandising Detail</t>
  </si>
  <si>
    <t>Item</t>
  </si>
  <si>
    <t>Total Gross</t>
  </si>
  <si>
    <t>COGS/Pcs</t>
  </si>
  <si>
    <t>Total COGS</t>
  </si>
  <si>
    <t>Net Profit</t>
  </si>
  <si>
    <t>Work Jacket</t>
  </si>
  <si>
    <t>Varsity</t>
  </si>
  <si>
    <t>Half Zip</t>
  </si>
  <si>
    <t>Kaos</t>
  </si>
  <si>
    <t>Topi</t>
  </si>
  <si>
    <t>Tumbler</t>
  </si>
  <si>
    <t>Totebag</t>
  </si>
  <si>
    <t>Keychain Biasa</t>
  </si>
  <si>
    <t>Keychain Clicker</t>
  </si>
  <si>
    <t>Sticker Pack</t>
  </si>
  <si>
    <t>Pin Tas 44 mm</t>
  </si>
  <si>
    <t>Pin Tas 58 mm</t>
  </si>
  <si>
    <t>Pin Enamel</t>
  </si>
  <si>
    <t>Boneka Bara</t>
  </si>
  <si>
    <t>Bando Bara</t>
  </si>
  <si>
    <t>Pulpen</t>
  </si>
  <si>
    <t>Pensil</t>
  </si>
  <si>
    <t>Buku</t>
  </si>
  <si>
    <t>💎Merchandising Detail💎</t>
  </si>
  <si>
    <t>Total Quantity Based on Pre Order</t>
  </si>
  <si>
    <t>Ready stock to sell on-site</t>
  </si>
  <si>
    <t>Expected Profit</t>
  </si>
  <si>
    <t>Test</t>
  </si>
  <si>
    <t>💎Production Costs💎</t>
  </si>
  <si>
    <t>Raw Materials Costs</t>
  </si>
  <si>
    <t>Detailed Quantity</t>
  </si>
  <si>
    <t>Total Q</t>
  </si>
  <si>
    <t>Direct Labor Costs</t>
  </si>
  <si>
    <t xml:space="preserve"> x</t>
  </si>
  <si>
    <t>-</t>
  </si>
  <si>
    <t>Sticker Packs</t>
  </si>
  <si>
    <t>Reimbursement Tracker</t>
  </si>
  <si>
    <t>Expense Proof</t>
  </si>
  <si>
    <t>Request Date</t>
  </si>
  <si>
    <t>Name</t>
  </si>
  <si>
    <t>Source</t>
  </si>
  <si>
    <t>Category</t>
  </si>
  <si>
    <t>Date Paid</t>
  </si>
  <si>
    <t>Amount of Money</t>
  </si>
  <si>
    <t>Status</t>
  </si>
  <si>
    <t>Proof link</t>
  </si>
  <si>
    <t>Item ID</t>
  </si>
  <si>
    <t>Item name</t>
  </si>
  <si>
    <t>Type</t>
  </si>
  <si>
    <t>Initial Stock</t>
  </si>
  <si>
    <t>Stock In</t>
  </si>
  <si>
    <t>Sold (Qris Payment)</t>
  </si>
  <si>
    <t>Sold (Cash Payment)</t>
  </si>
  <si>
    <t>Remaining Stock</t>
  </si>
  <si>
    <t>Total Sold</t>
  </si>
  <si>
    <t>Unit Price</t>
  </si>
  <si>
    <t>Cost Price</t>
  </si>
  <si>
    <t>Revenue</t>
  </si>
  <si>
    <t>Profit</t>
  </si>
  <si>
    <t>Notes</t>
  </si>
  <si>
    <t>1</t>
  </si>
  <si>
    <t>In stock</t>
  </si>
  <si>
    <t>2</t>
  </si>
  <si>
    <t>Sold out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</si>
  <si>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</si>
  <si>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</si>
  <si>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</si>
  <si>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</si>
  <si>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</si>
  <si>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</si>
  <si>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</si>
  <si>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</si>
  <si>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</si>
  <si>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Re-purchase needed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</si>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</sst>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IDR]\ #,##0"/>
    <numFmt numFmtId="165" formatCode="[$IDR]#,##0.00"/>
    <numFmt numFmtId="166" formatCode="[$Rp]#,##0"/>
    <numFmt numFmtId="167" formatCode="_(* #,##0_);_(* \(#,##0\);_(* &quot;-&quot;_);_(@_)"/>
    <numFmt numFmtId="168" formatCode="[$Rp-421]#,##0.00"/>
    <numFmt numFmtId="169" formatCode="_([$IDR]\ * #,##0_);_([$IDR]\ * \(#,##0\);_([$IDR]\ * &quot;-&quot;_);_(@_)"/>
    <numFmt numFmtId="170" formatCode="dd/mm/yyyy"/>
    <numFmt numFmtId="171" formatCode="d/m/yyyy"/>
    <numFmt numFmtId="172" formatCode="_-[$Rp-421]* #,##0.00_-;_-[$Rp-421]* \-#,##0.00_-;_-[$Rp-421]* &quot;-&quot;??_-;_-@"/>
    <numFmt numFmtId="173" formatCode="d&quot;/&quot;m&quot;/&quot;yy"/>
    <numFmt numFmtId="174" formatCode="d/m/yy"/>
  </numFmts>
  <fonts count="62">
    <font>
      <sz val="11.0"/>
      <color rgb="FF000000"/>
      <name val="Calibri"/>
      <scheme val="minor"/>
    </font>
    <font>
      <sz val="12.0"/>
      <color rgb="FF000000"/>
      <name val="Montserrat"/>
    </font>
    <font>
      <b/>
      <sz val="25.0"/>
      <color theme="0"/>
      <name val="EB Garamond"/>
    </font>
    <font/>
    <font>
      <b/>
      <sz val="18.0"/>
      <color rgb="FFFFFFFF"/>
      <name val="EB Garamond"/>
    </font>
    <font>
      <b/>
      <sz val="18.0"/>
      <color rgb="FF000000"/>
      <name val="EB Garamond"/>
    </font>
    <font>
      <b/>
      <sz val="12.0"/>
      <color rgb="FF000000"/>
      <name val="Montserrat"/>
    </font>
    <font>
      <b/>
      <sz val="12.0"/>
      <color rgb="FFFFFFFF"/>
      <name val="Montserrat"/>
    </font>
    <font>
      <b/>
      <sz val="18.0"/>
      <color rgb="FFFFFFFF"/>
      <name val="Sofia Sans Semi Condensed"/>
    </font>
    <font>
      <sz val="18.0"/>
      <color rgb="FFFFFFFF"/>
      <name val="Sofia Sans Semi Condensed"/>
    </font>
    <font>
      <b/>
      <sz val="18.0"/>
      <color rgb="FF000000"/>
      <name val="Sofia Sans Semi Condensed"/>
    </font>
    <font>
      <sz val="2.0"/>
      <color rgb="FFFFFFFF"/>
      <name val="Montserrat"/>
    </font>
    <font>
      <sz val="12.0"/>
      <color theme="1"/>
      <name val="Montserrat"/>
    </font>
    <font>
      <b/>
      <i/>
      <sz val="14.0"/>
      <color rgb="FFFFFFFF"/>
      <name val="Montserrat"/>
    </font>
    <font>
      <i/>
      <sz val="14.0"/>
      <color rgb="FFFFFFFF"/>
      <name val="Montserrat"/>
    </font>
    <font>
      <i/>
      <sz val="14.0"/>
      <color rgb="FF000000"/>
      <name val="Montserrat"/>
    </font>
    <font>
      <b/>
      <sz val="25.0"/>
      <color rgb="FFFFFFFF"/>
      <name val="EB Garamond"/>
    </font>
    <font>
      <sz val="12.0"/>
      <color rgb="FFFFFFFF"/>
      <name val="Montserrat"/>
    </font>
    <font>
      <b/>
      <sz val="30.0"/>
      <color rgb="FFFFFFFF"/>
      <name val="EB Garamond"/>
    </font>
    <font>
      <b/>
      <sz val="14.0"/>
      <color rgb="FFFFFFFF"/>
      <name val="Sofia Sans Semi Condensed"/>
    </font>
    <font>
      <sz val="14.0"/>
      <color rgb="FF000000"/>
      <name val="Sofia Sans Semi Condensed"/>
    </font>
    <font>
      <b/>
      <i/>
      <sz val="14.0"/>
      <color rgb="FF000000"/>
      <name val="Sofia Sans Semi Condensed"/>
    </font>
    <font>
      <sz val="12.0"/>
      <color rgb="FF434343"/>
      <name val="Montserrat"/>
    </font>
    <font>
      <sz val="11.0"/>
      <color rgb="FF000000"/>
      <name val="Montserrat"/>
    </font>
    <font>
      <b/>
      <sz val="26.0"/>
      <color rgb="FFFFFFFF"/>
      <name val="Sofia Sans Semi Condensed"/>
    </font>
    <font>
      <sz val="30.0"/>
      <color rgb="FFFFFFFF"/>
      <name val="EB Garamond"/>
    </font>
    <font>
      <b/>
      <sz val="28.0"/>
      <color rgb="FFFFFFFF"/>
      <name val="EB Garamond"/>
    </font>
    <font>
      <b/>
      <sz val="11.0"/>
      <color rgb="FFFFFFFF"/>
      <name val="EB Garamond"/>
    </font>
    <font>
      <b/>
      <i/>
      <sz val="16.0"/>
      <color rgb="FF073763"/>
      <name val="EB Garamond"/>
    </font>
    <font>
      <b/>
      <sz val="15.0"/>
      <color rgb="FFFFFFFF"/>
      <name val="EB Garamond"/>
    </font>
    <font>
      <sz val="14.0"/>
      <color theme="1"/>
      <name val="Sofia Sans Semi Condensed"/>
    </font>
    <font>
      <sz val="10.0"/>
      <color rgb="FF000000"/>
      <name val="Montserrat"/>
    </font>
    <font>
      <sz val="11.0"/>
      <color theme="1"/>
      <name val="Montserrat"/>
    </font>
    <font>
      <sz val="14.0"/>
      <color rgb="FF000000"/>
      <name val="Montserrat"/>
    </font>
    <font>
      <b/>
      <sz val="11.0"/>
      <color rgb="FFFFFFFF"/>
      <name val="Montserrat"/>
    </font>
    <font>
      <b/>
      <sz val="11.0"/>
      <color rgb="FF000000"/>
      <name val="Montserrat"/>
    </font>
    <font>
      <b/>
      <sz val="11.0"/>
      <color theme="1"/>
      <name val="Montserrat"/>
    </font>
    <font>
      <sz val="11.0"/>
      <color theme="1"/>
      <name val="Calibri"/>
    </font>
    <font>
      <b/>
      <sz val="12.0"/>
      <color theme="1"/>
      <name val="Montserrat"/>
    </font>
    <font>
      <sz val="11.0"/>
      <color rgb="FF000000"/>
      <name val="Lato"/>
    </font>
    <font>
      <b/>
      <sz val="24.0"/>
      <color rgb="FFFFFFFF"/>
      <name val="EB Garamond"/>
    </font>
    <font>
      <b/>
      <sz val="11.0"/>
      <color rgb="FF000000"/>
      <name val="Lato"/>
    </font>
    <font>
      <sz val="11.0"/>
      <color theme="1"/>
      <name val="Lato"/>
    </font>
    <font>
      <b/>
      <sz val="11.0"/>
      <color rgb="FFFFFFFF"/>
      <name val="Lato"/>
    </font>
    <font>
      <sz val="11.0"/>
      <color rgb="FFFFFFFF"/>
      <name val="Lato"/>
    </font>
    <font>
      <b/>
      <sz val="24.0"/>
      <color theme="1"/>
      <name val="EB Garamond"/>
    </font>
    <font>
      <b/>
      <sz val="11.0"/>
      <color theme="1"/>
      <name val="Lato"/>
    </font>
    <font>
      <sz val="10.0"/>
      <color theme="1"/>
      <name val="Raleway"/>
    </font>
    <font>
      <b/>
      <i/>
      <sz val="24.0"/>
      <color rgb="FFFFFFFF"/>
      <name val="EB Garamond"/>
    </font>
    <font>
      <b/>
      <sz val="10.0"/>
      <color rgb="FFD9D9D9"/>
      <name val="Raleway"/>
    </font>
    <font>
      <b/>
      <sz val="10.0"/>
      <color rgb="FFFFFFFF"/>
      <name val="Raleway"/>
    </font>
    <font>
      <sz val="10.0"/>
      <color rgb="FF000000"/>
      <name val="Raleway"/>
    </font>
    <font>
      <sz val="11.0"/>
      <color theme="1"/>
      <name val="Raleway"/>
    </font>
    <font>
      <color rgb="FF434343"/>
      <name val="Raleway"/>
    </font>
    <font>
      <color theme="1"/>
      <name val="Raleway"/>
    </font>
    <font>
      <sz val="10.0"/>
      <color rgb="FF434343"/>
      <name val="Raleway"/>
    </font>
    <font>
      <b/>
      <sz val="12.0"/>
      <color rgb="FF434343"/>
      <name val="Montserrat"/>
    </font>
    <font>
      <sz val="12.0"/>
      <color rgb="FFF4FAFF"/>
      <name val="Montserrat"/>
    </font>
    <font>
      <sz val="12.0"/>
      <color rgb="FF005A55"/>
      <name val="Montserrat"/>
    </font>
    <font>
      <sz val="12.0"/>
      <color rgb="FF7D0304"/>
      <name val="Montserrat"/>
    </font>
    <font>
      <sz val="12.0"/>
      <color rgb="FF263741"/>
      <name val="Montserrat"/>
    </font>
    <font>
      <sz val="12.0"/>
      <color rgb="FF952D33"/>
      <name val="Montserrat"/>
    </font>
  </fonts>
  <fills count="2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20124D"/>
        <bgColor rgb="FF20124D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B6D7A8"/>
        <bgColor rgb="FFB6D7A8"/>
      </patternFill>
    </fill>
    <fill>
      <patternFill patternType="solid">
        <fgColor rgb="FF4285F4"/>
        <bgColor rgb="FF4285F4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356854"/>
        <bgColor rgb="FF356854"/>
      </patternFill>
    </fill>
    <fill>
      <patternFill patternType="solid">
        <fgColor rgb="FFB7B7B7"/>
        <bgColor rgb="FFB7B7B7"/>
      </patternFill>
    </fill>
    <fill>
      <patternFill patternType="solid">
        <fgColor rgb="FFA61C00"/>
        <bgColor rgb="FFA61C00"/>
      </patternFill>
    </fill>
    <fill>
      <patternFill patternType="solid">
        <fgColor theme="4"/>
        <bgColor theme="4"/>
      </patternFill>
    </fill>
    <fill>
      <patternFill patternType="solid">
        <fgColor rgb="FF8E7CC3"/>
        <bgColor rgb="FF8E7CC3"/>
      </patternFill>
    </fill>
    <fill>
      <patternFill patternType="solid">
        <fgColor rgb="FF1DC47C"/>
        <bgColor rgb="FF1DC47C"/>
      </patternFill>
    </fill>
    <fill>
      <patternFill patternType="solid">
        <fgColor rgb="FFFF3434"/>
        <bgColor rgb="FFFF3434"/>
      </patternFill>
    </fill>
    <fill>
      <patternFill patternType="solid">
        <fgColor rgb="FFD0E0E3"/>
        <bgColor rgb="FFD0E0E3"/>
      </patternFill>
    </fill>
    <fill>
      <patternFill patternType="solid">
        <fgColor rgb="FFF6F8F9"/>
        <bgColor rgb="FFF6F8F9"/>
      </patternFill>
    </fill>
  </fills>
  <borders count="172">
    <border/>
    <border>
      <left/>
      <right/>
      <top/>
      <bottom/>
    </border>
    <border>
      <left/>
      <top/>
      <bottom/>
    </border>
    <border>
      <top/>
      <bottom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/>
      <top/>
      <bottom/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bottom style="thin">
        <color rgb="FF000000"/>
      </bottom>
    </border>
    <border>
      <left/>
      <top/>
    </border>
    <border>
      <left/>
      <right style="thick">
        <color rgb="FF000000"/>
      </right>
      <top/>
      <bottom style="thin">
        <color rgb="FF000000"/>
      </bottom>
    </border>
    <border>
      <left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/>
      <right style="thick">
        <color rgb="FF000000"/>
      </right>
      <top/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/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/>
      <bottom/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bottom/>
    </border>
    <border>
      <right/>
      <bottom/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ck">
        <color rgb="FF434343"/>
      </left>
    </border>
    <border>
      <right style="thick">
        <color rgb="FF434343"/>
      </right>
    </border>
    <border>
      <left style="thick">
        <color rgb="FF434343"/>
      </left>
      <right style="thick">
        <color rgb="FF434343"/>
      </righ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434343"/>
      </left>
      <bottom style="thick">
        <color rgb="FF434343"/>
      </bottom>
    </border>
    <border>
      <right style="thick">
        <color rgb="FF434343"/>
      </right>
      <bottom style="thick">
        <color rgb="FF434343"/>
      </bottom>
    </border>
    <border>
      <left style="thick">
        <color rgb="FF434343"/>
      </left>
      <right style="thick">
        <color rgb="FF434343"/>
      </right>
      <bottom style="thick">
        <color rgb="FF434343"/>
      </bottom>
    </border>
    <border>
      <left style="thick">
        <color rgb="FF434343"/>
      </left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976506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976506"/>
      </right>
      <top style="thin">
        <color rgb="FFFFFFFF"/>
      </top>
      <bottom style="thin">
        <color rgb="FFFFFFFF"/>
      </bottom>
    </border>
    <border>
      <left style="thin">
        <color rgb="FF976506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976506"/>
      </right>
      <top style="thin">
        <color rgb="FFF6F8F9"/>
      </top>
      <bottom style="thin">
        <color rgb="FFF6F8F9"/>
      </bottom>
    </border>
    <border>
      <left style="thin">
        <color rgb="FF976506"/>
      </left>
      <right style="thin">
        <color rgb="FFFFFFFF"/>
      </right>
      <top style="thin">
        <color rgb="FFFFFFFF"/>
      </top>
      <bottom style="thin">
        <color rgb="FF97650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76506"/>
      </bottom>
    </border>
    <border>
      <left style="thin">
        <color rgb="FFFFFFFF"/>
      </left>
      <right style="thin">
        <color rgb="FF976506"/>
      </right>
      <top style="thin">
        <color rgb="FFFFFFFF"/>
      </top>
      <bottom style="thin">
        <color rgb="FF976506"/>
      </bottom>
    </border>
  </borders>
  <cellStyleXfs count="1">
    <xf borderId="0" fillId="0" fontId="0" numFmtId="0" applyAlignment="1" applyFont="1"/>
  </cellStyleXfs>
  <cellXfs count="5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2" fillId="2" fontId="1" numFmtId="0" xfId="0" applyAlignment="1" applyBorder="1" applyFont="1">
      <alignment vertical="center"/>
    </xf>
    <xf borderId="4" fillId="4" fontId="4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3" fillId="2" fontId="5" numFmtId="0" xfId="0" applyAlignment="1" applyBorder="1" applyFont="1">
      <alignment vertical="center"/>
    </xf>
    <xf borderId="7" fillId="4" fontId="4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0" fillId="2" fontId="6" numFmtId="0" xfId="0" applyAlignment="1" applyBorder="1" applyFont="1">
      <alignment vertical="center"/>
    </xf>
    <xf borderId="11" fillId="5" fontId="7" numFmtId="0" xfId="0" applyAlignment="1" applyBorder="1" applyFill="1" applyFont="1">
      <alignment horizontal="center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3" fillId="2" fontId="1" numFmtId="0" xfId="0" applyAlignment="1" applyBorder="1" applyFont="1">
      <alignment vertical="center"/>
    </xf>
    <xf borderId="14" fillId="5" fontId="7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6" fontId="7" numFmtId="0" xfId="0" applyAlignment="1" applyBorder="1" applyFill="1" applyFont="1">
      <alignment horizontal="center" readingOrder="0" shrinkToFit="0" vertical="center" wrapText="1"/>
    </xf>
    <xf borderId="18" fillId="6" fontId="7" numFmtId="164" xfId="0" applyAlignment="1" applyBorder="1" applyFont="1" applyNumberFormat="1">
      <alignment horizontal="center" readingOrder="0" shrinkToFit="0" vertical="center" wrapText="1"/>
    </xf>
    <xf borderId="18" fillId="6" fontId="7" numFmtId="0" xfId="0" applyAlignment="1" applyBorder="1" applyFont="1">
      <alignment horizontal="center" readingOrder="0" shrinkToFit="0" vertical="center" wrapText="1"/>
    </xf>
    <xf borderId="18" fillId="6" fontId="7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vertical="center"/>
    </xf>
    <xf borderId="20" fillId="0" fontId="1" numFmtId="0" xfId="0" applyAlignment="1" applyBorder="1" applyFont="1">
      <alignment readingOrder="0" shrinkToFit="0" vertical="center" wrapText="1"/>
    </xf>
    <xf borderId="21" fillId="2" fontId="1" numFmtId="164" xfId="0" applyAlignment="1" applyBorder="1" applyFont="1" applyNumberFormat="1">
      <alignment horizontal="right" readingOrder="0" shrinkToFit="0" vertical="center" wrapText="1"/>
    </xf>
    <xf borderId="21" fillId="2" fontId="1" numFmtId="0" xfId="0" applyAlignment="1" applyBorder="1" applyFont="1">
      <alignment horizontal="center" readingOrder="0" shrinkToFit="0" vertical="center" wrapText="1"/>
    </xf>
    <xf borderId="22" fillId="7" fontId="1" numFmtId="164" xfId="0" applyAlignment="1" applyBorder="1" applyFill="1" applyFont="1" applyNumberFormat="1">
      <alignment shrinkToFit="0" vertical="center" wrapText="1"/>
    </xf>
    <xf borderId="23" fillId="0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vertical="center"/>
    </xf>
    <xf borderId="24" fillId="2" fontId="1" numFmtId="164" xfId="0" applyAlignment="1" applyBorder="1" applyFont="1" applyNumberFormat="1">
      <alignment horizontal="right" readingOrder="0" shrinkToFit="0" vertical="center" wrapText="1"/>
    </xf>
    <xf borderId="24" fillId="2" fontId="1" numFmtId="0" xfId="0" applyAlignment="1" applyBorder="1" applyFont="1">
      <alignment horizontal="center" readingOrder="0" shrinkToFit="0" vertical="center" wrapText="1"/>
    </xf>
    <xf borderId="25" fillId="7" fontId="1" numFmtId="164" xfId="0" applyAlignment="1" applyBorder="1" applyFont="1" applyNumberFormat="1">
      <alignment shrinkToFit="0" vertical="center" wrapText="1"/>
    </xf>
    <xf borderId="26" fillId="0" fontId="1" numFmtId="0" xfId="0" applyAlignment="1" applyBorder="1" applyFont="1">
      <alignment readingOrder="0" shrinkToFit="0" vertical="center" wrapText="1"/>
    </xf>
    <xf borderId="27" fillId="7" fontId="1" numFmtId="164" xfId="0" applyAlignment="1" applyBorder="1" applyFont="1" applyNumberFormat="1">
      <alignment shrinkToFit="0" vertical="center" wrapText="1"/>
    </xf>
    <xf borderId="28" fillId="2" fontId="1" numFmtId="0" xfId="0" applyAlignment="1" applyBorder="1" applyFont="1">
      <alignment vertical="center"/>
    </xf>
    <xf borderId="29" fillId="7" fontId="1" numFmtId="164" xfId="0" applyAlignment="1" applyBorder="1" applyFont="1" applyNumberFormat="1">
      <alignment shrinkToFit="0" vertical="center" wrapText="1"/>
    </xf>
    <xf borderId="23" fillId="0" fontId="1" numFmtId="0" xfId="0" applyAlignment="1" applyBorder="1" applyFont="1">
      <alignment readingOrder="0" shrinkToFit="0" vertical="center" wrapText="1"/>
    </xf>
    <xf borderId="26" fillId="0" fontId="1" numFmtId="0" xfId="0" applyAlignment="1" applyBorder="1" applyFont="1">
      <alignment readingOrder="0" shrinkToFit="0" vertical="center" wrapText="1"/>
    </xf>
    <xf borderId="26" fillId="8" fontId="1" numFmtId="0" xfId="0" applyAlignment="1" applyBorder="1" applyFill="1" applyFont="1">
      <alignment readingOrder="0" vertical="center"/>
    </xf>
    <xf borderId="24" fillId="2" fontId="1" numFmtId="165" xfId="0" applyAlignment="1" applyBorder="1" applyFont="1" applyNumberFormat="1">
      <alignment horizontal="right" readingOrder="0" shrinkToFit="0" vertical="center" wrapText="1"/>
    </xf>
    <xf borderId="30" fillId="2" fontId="1" numFmtId="0" xfId="0" applyAlignment="1" applyBorder="1" applyFont="1">
      <alignment vertical="center"/>
    </xf>
    <xf borderId="31" fillId="5" fontId="7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5" fontId="7" numFmtId="164" xfId="0" applyAlignment="1" applyBorder="1" applyFont="1" applyNumberFormat="1">
      <alignment horizontal="center" shrinkToFit="0" vertical="center" wrapText="1"/>
    </xf>
    <xf borderId="35" fillId="0" fontId="3" numFmtId="0" xfId="0" applyBorder="1" applyFont="1"/>
    <xf borderId="18" fillId="5" fontId="7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36" fillId="2" fontId="1" numFmtId="0" xfId="0" applyAlignment="1" applyBorder="1" applyFont="1">
      <alignment horizontal="center" vertical="center"/>
    </xf>
    <xf borderId="37" fillId="3" fontId="8" numFmtId="0" xfId="0" applyAlignment="1" applyBorder="1" applyFont="1">
      <alignment horizontal="center" vertical="center"/>
    </xf>
    <xf borderId="38" fillId="0" fontId="3" numFmtId="0" xfId="0" applyBorder="1" applyFont="1"/>
    <xf borderId="39" fillId="0" fontId="3" numFmtId="0" xfId="0" applyBorder="1" applyFont="1"/>
    <xf borderId="40" fillId="3" fontId="8" numFmtId="0" xfId="0" applyAlignment="1" applyBorder="1" applyFont="1">
      <alignment horizontal="center" vertical="center"/>
    </xf>
    <xf borderId="36" fillId="8" fontId="9" numFmtId="0" xfId="0" applyAlignment="1" applyBorder="1" applyFont="1">
      <alignment horizontal="center" shrinkToFit="0" vertical="center" wrapText="0"/>
    </xf>
    <xf borderId="36" fillId="8" fontId="10" numFmtId="0" xfId="0" applyAlignment="1" applyBorder="1" applyFont="1">
      <alignment horizontal="center" vertical="center"/>
    </xf>
    <xf borderId="36" fillId="2" fontId="6" numFmtId="0" xfId="0" applyAlignment="1" applyBorder="1" applyFont="1">
      <alignment horizontal="center" vertical="center"/>
    </xf>
    <xf borderId="41" fillId="9" fontId="1" numFmtId="0" xfId="0" applyAlignment="1" applyBorder="1" applyFill="1" applyFont="1">
      <alignment horizontal="left" readingOrder="0" vertical="center"/>
    </xf>
    <xf borderId="42" fillId="0" fontId="3" numFmtId="0" xfId="0" applyBorder="1" applyFont="1"/>
    <xf borderId="43" fillId="0" fontId="3" numFmtId="0" xfId="0" applyBorder="1" applyFont="1"/>
    <xf borderId="44" fillId="9" fontId="1" numFmtId="164" xfId="0" applyAlignment="1" applyBorder="1" applyFont="1" applyNumberFormat="1">
      <alignment vertical="center"/>
    </xf>
    <xf borderId="1" fillId="2" fontId="11" numFmtId="0" xfId="0" applyAlignment="1" applyBorder="1" applyFont="1">
      <alignment horizontal="center" shrinkToFit="0" vertical="center" wrapText="0"/>
    </xf>
    <xf borderId="45" fillId="9" fontId="1" numFmtId="164" xfId="0" applyAlignment="1" applyBorder="1" applyFont="1" applyNumberFormat="1">
      <alignment vertical="center"/>
    </xf>
    <xf borderId="46" fillId="9" fontId="1" numFmtId="0" xfId="0" applyAlignment="1" applyBorder="1" applyFont="1">
      <alignment horizontal="left" readingOrder="0" vertical="center"/>
    </xf>
    <xf borderId="47" fillId="0" fontId="3" numFmtId="0" xfId="0" applyBorder="1" applyFont="1"/>
    <xf borderId="48" fillId="0" fontId="3" numFmtId="0" xfId="0" applyBorder="1" applyFont="1"/>
    <xf borderId="44" fillId="9" fontId="12" numFmtId="164" xfId="0" applyAlignment="1" applyBorder="1" applyFont="1" applyNumberFormat="1">
      <alignment horizontal="right" vertical="center"/>
    </xf>
    <xf borderId="2" fillId="2" fontId="11" numFmtId="0" xfId="0" applyAlignment="1" applyBorder="1" applyFont="1">
      <alignment horizontal="center" shrinkToFit="0" vertical="center" wrapText="0"/>
    </xf>
    <xf borderId="45" fillId="9" fontId="12" numFmtId="164" xfId="0" applyAlignment="1" applyBorder="1" applyFont="1" applyNumberFormat="1">
      <alignment horizontal="right" vertical="center"/>
    </xf>
    <xf borderId="49" fillId="9" fontId="12" numFmtId="164" xfId="0" applyAlignment="1" applyBorder="1" applyFont="1" applyNumberFormat="1">
      <alignment horizontal="right" vertical="center"/>
    </xf>
    <xf borderId="50" fillId="9" fontId="12" numFmtId="164" xfId="0" applyAlignment="1" applyBorder="1" applyFont="1" applyNumberFormat="1">
      <alignment horizontal="right" vertical="center"/>
    </xf>
    <xf borderId="51" fillId="9" fontId="12" numFmtId="164" xfId="0" applyAlignment="1" applyBorder="1" applyFont="1" applyNumberFormat="1">
      <alignment horizontal="right" vertical="center"/>
    </xf>
    <xf borderId="52" fillId="9" fontId="12" numFmtId="164" xfId="0" applyAlignment="1" applyBorder="1" applyFont="1" applyNumberFormat="1">
      <alignment horizontal="right" vertical="center"/>
    </xf>
    <xf borderId="49" fillId="9" fontId="1" numFmtId="164" xfId="0" applyAlignment="1" applyBorder="1" applyFont="1" applyNumberFormat="1">
      <alignment vertical="center"/>
    </xf>
    <xf borderId="50" fillId="9" fontId="1" numFmtId="164" xfId="0" applyAlignment="1" applyBorder="1" applyFont="1" applyNumberFormat="1">
      <alignment vertical="center"/>
    </xf>
    <xf borderId="53" fillId="9" fontId="1" numFmtId="0" xfId="0" applyAlignment="1" applyBorder="1" applyFont="1">
      <alignment horizontal="left" readingOrder="0" vertical="center"/>
    </xf>
    <xf borderId="54" fillId="0" fontId="3" numFmtId="0" xfId="0" applyBorder="1" applyFont="1"/>
    <xf borderId="55" fillId="0" fontId="3" numFmtId="0" xfId="0" applyBorder="1" applyFont="1"/>
    <xf borderId="51" fillId="9" fontId="1" numFmtId="164" xfId="0" applyAlignment="1" applyBorder="1" applyFont="1" applyNumberFormat="1">
      <alignment vertical="center"/>
    </xf>
    <xf borderId="52" fillId="9" fontId="1" numFmtId="164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56" fillId="10" fontId="6" numFmtId="0" xfId="0" applyAlignment="1" applyBorder="1" applyFill="1" applyFont="1">
      <alignment horizontal="center" vertical="center"/>
    </xf>
    <xf borderId="57" fillId="0" fontId="3" numFmtId="0" xfId="0" applyBorder="1" applyFont="1"/>
    <xf borderId="58" fillId="0" fontId="3" numFmtId="0" xfId="0" applyBorder="1" applyFont="1"/>
    <xf borderId="59" fillId="10" fontId="6" numFmtId="164" xfId="0" applyAlignment="1" applyBorder="1" applyFont="1" applyNumberFormat="1">
      <alignment horizontal="center" vertical="center"/>
    </xf>
    <xf borderId="60" fillId="11" fontId="13" numFmtId="0" xfId="0" applyAlignment="1" applyBorder="1" applyFill="1" applyFont="1">
      <alignment horizontal="center" vertical="center"/>
    </xf>
    <xf borderId="61" fillId="0" fontId="3" numFmtId="0" xfId="0" applyBorder="1" applyFont="1"/>
    <xf borderId="62" fillId="0" fontId="3" numFmtId="0" xfId="0" applyBorder="1" applyFont="1"/>
    <xf borderId="63" fillId="11" fontId="13" numFmtId="164" xfId="0" applyAlignment="1" applyBorder="1" applyFont="1" applyNumberFormat="1">
      <alignment horizontal="center" vertical="center"/>
    </xf>
    <xf borderId="1" fillId="2" fontId="14" numFmtId="0" xfId="0" applyAlignment="1" applyBorder="1" applyFont="1">
      <alignment horizontal="center" shrinkToFit="0" vertical="center" wrapText="0"/>
    </xf>
    <xf borderId="1" fillId="2" fontId="15" numFmtId="0" xfId="0" applyAlignment="1" applyBorder="1" applyFont="1">
      <alignment horizontal="center" vertical="center"/>
    </xf>
    <xf borderId="64" fillId="2" fontId="1" numFmtId="0" xfId="0" applyAlignment="1" applyBorder="1" applyFont="1">
      <alignment vertical="center"/>
    </xf>
    <xf borderId="64" fillId="2" fontId="6" numFmtId="0" xfId="0" applyAlignment="1" applyBorder="1" applyFont="1">
      <alignment vertical="center"/>
    </xf>
    <xf borderId="1" fillId="2" fontId="6" numFmtId="0" xfId="0" applyAlignment="1" applyBorder="1" applyFont="1">
      <alignment vertical="center"/>
    </xf>
    <xf borderId="56" fillId="5" fontId="7" numFmtId="0" xfId="0" applyAlignment="1" applyBorder="1" applyFont="1">
      <alignment horizontal="center" vertical="center"/>
    </xf>
    <xf borderId="10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 vertical="center"/>
    </xf>
    <xf borderId="65" fillId="6" fontId="7" numFmtId="0" xfId="0" applyAlignment="1" applyBorder="1" applyFont="1">
      <alignment vertical="center"/>
    </xf>
    <xf borderId="24" fillId="6" fontId="7" numFmtId="0" xfId="0" applyAlignment="1" applyBorder="1" applyFont="1">
      <alignment horizontal="center" vertical="center"/>
    </xf>
    <xf borderId="58" fillId="6" fontId="7" numFmtId="0" xfId="0" applyAlignment="1" applyBorder="1" applyFont="1">
      <alignment horizontal="center" vertical="center"/>
    </xf>
    <xf borderId="66" fillId="0" fontId="12" numFmtId="0" xfId="0" applyAlignment="1" applyBorder="1" applyFont="1">
      <alignment readingOrder="0" vertical="center"/>
    </xf>
    <xf borderId="21" fillId="8" fontId="12" numFmtId="166" xfId="0" applyAlignment="1" applyBorder="1" applyFont="1" applyNumberFormat="1">
      <alignment horizontal="center" readingOrder="0" vertical="center"/>
    </xf>
    <xf borderId="67" fillId="8" fontId="12" numFmtId="0" xfId="0" applyAlignment="1" applyBorder="1" applyFont="1">
      <alignment horizontal="center" readingOrder="0" vertical="center"/>
    </xf>
    <xf borderId="68" fillId="12" fontId="12" numFmtId="164" xfId="0" applyAlignment="1" applyBorder="1" applyFill="1" applyFont="1" applyNumberFormat="1">
      <alignment horizontal="right" vertical="center"/>
    </xf>
    <xf borderId="69" fillId="12" fontId="1" numFmtId="164" xfId="0" applyAlignment="1" applyBorder="1" applyFont="1" applyNumberFormat="1">
      <alignment vertical="center"/>
    </xf>
    <xf borderId="70" fillId="0" fontId="12" numFmtId="0" xfId="0" applyAlignment="1" applyBorder="1" applyFont="1">
      <alignment readingOrder="0" vertical="center"/>
    </xf>
    <xf borderId="71" fillId="12" fontId="12" numFmtId="164" xfId="0" applyAlignment="1" applyBorder="1" applyFont="1" applyNumberFormat="1">
      <alignment horizontal="right" vertical="center"/>
    </xf>
    <xf borderId="67" fillId="0" fontId="12" numFmtId="0" xfId="0" applyAlignment="1" applyBorder="1" applyFont="1">
      <alignment horizontal="center" readingOrder="0" vertical="center"/>
    </xf>
    <xf borderId="72" fillId="8" fontId="12" numFmtId="0" xfId="0" applyAlignment="1" applyBorder="1" applyFont="1">
      <alignment horizontal="left" vertical="center"/>
    </xf>
    <xf borderId="21" fillId="0" fontId="1" numFmtId="166" xfId="0" applyAlignment="1" applyBorder="1" applyFont="1" applyNumberFormat="1">
      <alignment horizontal="right" vertical="center"/>
    </xf>
    <xf borderId="24" fillId="0" fontId="1" numFmtId="0" xfId="0" applyAlignment="1" applyBorder="1" applyFont="1">
      <alignment horizontal="right" vertical="center"/>
    </xf>
    <xf borderId="72" fillId="0" fontId="12" numFmtId="0" xfId="0" applyAlignment="1" applyBorder="1" applyFont="1">
      <alignment horizontal="left" vertical="center"/>
    </xf>
    <xf borderId="24" fillId="8" fontId="1" numFmtId="0" xfId="0" applyAlignment="1" applyBorder="1" applyFont="1">
      <alignment horizontal="right" vertical="center"/>
    </xf>
    <xf borderId="73" fillId="0" fontId="1" numFmtId="0" xfId="0" applyAlignment="1" applyBorder="1" applyFont="1">
      <alignment vertical="center"/>
    </xf>
    <xf borderId="74" fillId="0" fontId="1" numFmtId="166" xfId="0" applyAlignment="1" applyBorder="1" applyFont="1" applyNumberFormat="1">
      <alignment vertical="center"/>
    </xf>
    <xf borderId="75" fillId="8" fontId="1" numFmtId="0" xfId="0" applyAlignment="1" applyBorder="1" applyFont="1">
      <alignment vertical="center"/>
    </xf>
    <xf borderId="74" fillId="8" fontId="1" numFmtId="0" xfId="0" applyAlignment="1" applyBorder="1" applyFont="1">
      <alignment vertical="center"/>
    </xf>
    <xf borderId="56" fillId="5" fontId="7" numFmtId="0" xfId="0" applyAlignment="1" applyBorder="1" applyFont="1">
      <alignment horizontal="center" readingOrder="0" vertical="center"/>
    </xf>
    <xf borderId="76" fillId="5" fontId="7" numFmtId="164" xfId="0" applyAlignment="1" applyBorder="1" applyFont="1" applyNumberFormat="1">
      <alignment horizontal="center" vertical="center"/>
    </xf>
    <xf borderId="56" fillId="6" fontId="7" numFmtId="0" xfId="0" applyAlignment="1" applyBorder="1" applyFont="1">
      <alignment vertical="center"/>
    </xf>
    <xf borderId="76" fillId="6" fontId="7" numFmtId="0" xfId="0" applyAlignment="1" applyBorder="1" applyFont="1">
      <alignment horizontal="center" vertical="center"/>
    </xf>
    <xf borderId="76" fillId="6" fontId="7" numFmtId="0" xfId="0" applyAlignment="1" applyBorder="1" applyFont="1">
      <alignment horizontal="center" readingOrder="0" vertical="center"/>
    </xf>
    <xf borderId="72" fillId="0" fontId="12" numFmtId="0" xfId="0" applyAlignment="1" applyBorder="1" applyFont="1">
      <alignment horizontal="left" readingOrder="0" vertical="center"/>
    </xf>
    <xf borderId="43" fillId="8" fontId="12" numFmtId="166" xfId="0" applyAlignment="1" applyBorder="1" applyFont="1" applyNumberFormat="1">
      <alignment horizontal="center" readingOrder="0" vertical="center"/>
    </xf>
    <xf borderId="43" fillId="8" fontId="12" numFmtId="0" xfId="0" applyAlignment="1" applyBorder="1" applyFont="1">
      <alignment horizontal="center" readingOrder="0" vertical="center"/>
    </xf>
    <xf borderId="50" fillId="12" fontId="1" numFmtId="164" xfId="0" applyAlignment="1" applyBorder="1" applyFont="1" applyNumberFormat="1">
      <alignment horizontal="right" vertical="center"/>
    </xf>
    <xf borderId="67" fillId="8" fontId="12" numFmtId="166" xfId="0" applyAlignment="1" applyBorder="1" applyFont="1" applyNumberFormat="1">
      <alignment horizontal="center" readingOrder="0" vertical="center"/>
    </xf>
    <xf borderId="67" fillId="0" fontId="12" numFmtId="166" xfId="0" applyAlignment="1" applyBorder="1" applyFont="1" applyNumberFormat="1">
      <alignment horizontal="center" readingOrder="0" vertical="center"/>
    </xf>
    <xf borderId="2" fillId="2" fontId="11" numFmtId="0" xfId="0" applyAlignment="1" applyBorder="1" applyFont="1">
      <alignment horizontal="center" readingOrder="0" shrinkToFit="0" vertical="center" wrapText="0"/>
    </xf>
    <xf borderId="24" fillId="6" fontId="7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24" fillId="8" fontId="12" numFmtId="166" xfId="0" applyAlignment="1" applyBorder="1" applyFont="1" applyNumberFormat="1">
      <alignment horizontal="center" readingOrder="0" vertical="center"/>
    </xf>
    <xf borderId="24" fillId="12" fontId="12" numFmtId="164" xfId="0" applyAlignment="1" applyBorder="1" applyFont="1" applyNumberFormat="1">
      <alignment horizontal="right" vertical="center"/>
    </xf>
    <xf borderId="71" fillId="12" fontId="1" numFmtId="164" xfId="0" applyAlignment="1" applyBorder="1" applyFont="1" applyNumberFormat="1">
      <alignment horizontal="right" vertical="center"/>
    </xf>
    <xf borderId="18" fillId="6" fontId="7" numFmtId="0" xfId="0" applyAlignment="1" applyBorder="1" applyFont="1">
      <alignment vertical="center"/>
    </xf>
    <xf borderId="18" fillId="6" fontId="7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shrinkToFit="0" vertical="center" wrapText="0"/>
    </xf>
    <xf borderId="23" fillId="0" fontId="12" numFmtId="0" xfId="0" applyAlignment="1" applyBorder="1" applyFont="1">
      <alignment readingOrder="0" vertical="center"/>
    </xf>
    <xf borderId="21" fillId="8" fontId="12" numFmtId="0" xfId="0" applyAlignment="1" applyBorder="1" applyFont="1">
      <alignment horizontal="center" readingOrder="0" vertical="center"/>
    </xf>
    <xf borderId="22" fillId="12" fontId="12" numFmtId="164" xfId="0" applyAlignment="1" applyBorder="1" applyFont="1" applyNumberFormat="1">
      <alignment horizontal="right" vertical="center"/>
    </xf>
    <xf borderId="24" fillId="8" fontId="12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70" fillId="0" fontId="12" numFmtId="0" xfId="0" applyAlignment="1" applyBorder="1" applyFont="1">
      <alignment horizontal="left" readingOrder="0" vertical="center"/>
    </xf>
    <xf borderId="77" fillId="12" fontId="1" numFmtId="164" xfId="0" applyAlignment="1" applyBorder="1" applyFont="1" applyNumberFormat="1">
      <alignment vertical="center"/>
    </xf>
    <xf borderId="71" fillId="12" fontId="1" numFmtId="164" xfId="0" applyAlignment="1" applyBorder="1" applyFont="1" applyNumberFormat="1">
      <alignment vertical="center"/>
    </xf>
    <xf borderId="2" fillId="2" fontId="6" numFmtId="0" xfId="0" applyAlignment="1" applyBorder="1" applyFont="1">
      <alignment horizontal="center" vertical="center"/>
    </xf>
    <xf borderId="1" fillId="2" fontId="1" numFmtId="167" xfId="0" applyAlignment="1" applyBorder="1" applyFont="1" applyNumberFormat="1">
      <alignment vertical="center"/>
    </xf>
    <xf borderId="67" fillId="0" fontId="12" numFmtId="164" xfId="0" applyAlignment="1" applyBorder="1" applyFont="1" applyNumberFormat="1">
      <alignment horizontal="center" readingOrder="0" vertical="center"/>
    </xf>
    <xf borderId="21" fillId="0" fontId="1" numFmtId="166" xfId="0" applyAlignment="1" applyBorder="1" applyFont="1" applyNumberForma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4" fillId="0" fontId="1" numFmtId="164" xfId="0" applyAlignment="1" applyBorder="1" applyFont="1" applyNumberFormat="1">
      <alignment horizontal="center" readingOrder="0" vertical="center"/>
    </xf>
    <xf borderId="43" fillId="0" fontId="12" numFmtId="166" xfId="0" applyAlignment="1" applyBorder="1" applyFont="1" applyNumberFormat="1">
      <alignment horizontal="right" readingOrder="0" vertical="center"/>
    </xf>
    <xf borderId="43" fillId="0" fontId="12" numFmtId="0" xfId="0" applyAlignment="1" applyBorder="1" applyFont="1">
      <alignment horizontal="center" readingOrder="0" vertical="center"/>
    </xf>
    <xf borderId="78" fillId="0" fontId="12" numFmtId="166" xfId="0" applyAlignment="1" applyBorder="1" applyFont="1" applyNumberFormat="1">
      <alignment horizontal="right" readingOrder="0" vertical="center"/>
    </xf>
    <xf borderId="67" fillId="0" fontId="12" numFmtId="166" xfId="0" applyAlignment="1" applyBorder="1" applyFont="1" applyNumberFormat="1">
      <alignment horizontal="right" readingOrder="0" vertical="center"/>
    </xf>
    <xf borderId="79" fillId="8" fontId="12" numFmtId="0" xfId="0" applyAlignment="1" applyBorder="1" applyFont="1">
      <alignment readingOrder="0" vertical="center"/>
    </xf>
    <xf borderId="24" fillId="0" fontId="1" numFmtId="166" xfId="0" applyAlignment="1" applyBorder="1" applyFont="1" applyNumberFormat="1">
      <alignment horizontal="right" readingOrder="0" vertical="center"/>
    </xf>
    <xf borderId="67" fillId="0" fontId="1" numFmtId="0" xfId="0" applyAlignment="1" applyBorder="1" applyFont="1">
      <alignment horizontal="center" readingOrder="0" vertical="center"/>
    </xf>
    <xf borderId="21" fillId="0" fontId="1" numFmtId="166" xfId="0" applyAlignment="1" applyBorder="1" applyFont="1" applyNumberFormat="1">
      <alignment horizontal="right" readingOrder="0" vertical="center"/>
    </xf>
    <xf borderId="48" fillId="0" fontId="1" numFmtId="0" xfId="0" applyAlignment="1" applyBorder="1" applyFont="1">
      <alignment horizontal="center" readingOrder="0" vertical="center"/>
    </xf>
    <xf borderId="79" fillId="0" fontId="12" numFmtId="0" xfId="0" applyAlignment="1" applyBorder="1" applyFont="1">
      <alignment readingOrder="0" vertical="center"/>
    </xf>
    <xf borderId="36" fillId="2" fontId="1" numFmtId="0" xfId="0" applyAlignment="1" applyBorder="1" applyFont="1">
      <alignment vertical="center"/>
    </xf>
    <xf borderId="1" fillId="2" fontId="11" numFmtId="0" xfId="0" applyAlignment="1" applyBorder="1" applyFont="1">
      <alignment horizontal="center" readingOrder="0" shrinkToFit="0" vertical="center" wrapText="0"/>
    </xf>
    <xf borderId="80" fillId="0" fontId="1" numFmtId="0" xfId="0" applyAlignment="1" applyBorder="1" applyFont="1">
      <alignment readingOrder="0" shrinkToFit="0" vertical="center" wrapText="1"/>
    </xf>
    <xf borderId="74" fillId="2" fontId="1" numFmtId="164" xfId="0" applyAlignment="1" applyBorder="1" applyFont="1" applyNumberFormat="1">
      <alignment horizontal="right" readingOrder="0" shrinkToFit="0" vertical="center" wrapText="1"/>
    </xf>
    <xf borderId="74" fillId="2" fontId="1" numFmtId="0" xfId="0" applyAlignment="1" applyBorder="1" applyFont="1">
      <alignment horizontal="center" readingOrder="0" shrinkToFit="0" vertical="center" wrapText="1"/>
    </xf>
    <xf borderId="81" fillId="7" fontId="1" numFmtId="164" xfId="0" applyAlignment="1" applyBorder="1" applyFont="1" applyNumberFormat="1">
      <alignment shrinkToFit="0" vertical="center" wrapText="1"/>
    </xf>
    <xf borderId="82" fillId="7" fontId="1" numFmtId="164" xfId="0" applyAlignment="1" applyBorder="1" applyFont="1" applyNumberFormat="1">
      <alignment shrinkToFit="0" vertical="center" wrapText="1"/>
    </xf>
    <xf borderId="70" fillId="0" fontId="12" numFmtId="0" xfId="0" applyAlignment="1" applyBorder="1" applyFont="1">
      <alignment readingOrder="0" shrinkToFit="0" vertical="center" wrapText="1"/>
    </xf>
    <xf borderId="24" fillId="0" fontId="12" numFmtId="0" xfId="0" applyAlignment="1" applyBorder="1" applyFont="1">
      <alignment readingOrder="0" vertical="center"/>
    </xf>
    <xf borderId="2" fillId="3" fontId="16" numFmtId="0" xfId="0" applyAlignment="1" applyBorder="1" applyFont="1">
      <alignment horizontal="center" readingOrder="0" vertical="center"/>
    </xf>
    <xf borderId="65" fillId="6" fontId="7" numFmtId="0" xfId="0" applyAlignment="1" applyBorder="1" applyFont="1">
      <alignment readingOrder="0" vertical="center"/>
    </xf>
    <xf borderId="1" fillId="2" fontId="17" numFmtId="0" xfId="0" applyAlignment="1" applyBorder="1" applyFont="1">
      <alignment vertical="center"/>
    </xf>
    <xf borderId="2" fillId="3" fontId="18" numFmtId="0" xfId="0" applyAlignment="1" applyBorder="1" applyFont="1">
      <alignment horizontal="center" readingOrder="0" vertical="center"/>
    </xf>
    <xf borderId="10" fillId="0" fontId="3" numFmtId="0" xfId="0" applyBorder="1" applyFont="1"/>
    <xf borderId="28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vertical="center"/>
    </xf>
    <xf borderId="2" fillId="2" fontId="17" numFmtId="0" xfId="0" applyAlignment="1" applyBorder="1" applyFont="1">
      <alignment vertical="center"/>
    </xf>
    <xf borderId="83" fillId="3" fontId="19" numFmtId="0" xfId="0" applyAlignment="1" applyBorder="1" applyFont="1">
      <alignment horizontal="center" readingOrder="0" vertical="center"/>
    </xf>
    <xf borderId="24" fillId="3" fontId="19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vertical="center"/>
    </xf>
    <xf borderId="83" fillId="13" fontId="19" numFmtId="0" xfId="0" applyAlignment="1" applyBorder="1" applyFill="1" applyFont="1">
      <alignment horizontal="center" vertical="center"/>
    </xf>
    <xf borderId="24" fillId="7" fontId="20" numFmtId="164" xfId="0" applyAlignment="1" applyBorder="1" applyFont="1" applyNumberFormat="1">
      <alignment horizontal="center" shrinkToFit="0" vertical="center" wrapText="0"/>
    </xf>
    <xf borderId="83" fillId="10" fontId="21" numFmtId="0" xfId="0" applyAlignment="1" applyBorder="1" applyFont="1">
      <alignment horizontal="center" readingOrder="0" vertical="center"/>
    </xf>
    <xf borderId="24" fillId="10" fontId="21" numFmtId="164" xfId="0" applyAlignment="1" applyBorder="1" applyFont="1" applyNumberFormat="1">
      <alignment horizontal="center" shrinkToFit="0" vertical="center" wrapText="0"/>
    </xf>
    <xf borderId="30" fillId="2" fontId="7" numFmtId="0" xfId="0" applyAlignment="1" applyBorder="1" applyFont="1">
      <alignment horizontal="center" vertical="center"/>
    </xf>
    <xf borderId="11" fillId="14" fontId="7" numFmtId="0" xfId="0" applyAlignment="1" applyBorder="1" applyFill="1" applyFont="1">
      <alignment horizontal="center" vertical="center"/>
    </xf>
    <xf borderId="10" fillId="2" fontId="17" numFmtId="0" xfId="0" applyAlignment="1" applyBorder="1" applyFont="1">
      <alignment vertical="center"/>
    </xf>
    <xf borderId="84" fillId="6" fontId="7" numFmtId="0" xfId="0" applyAlignment="1" applyBorder="1" applyFont="1">
      <alignment horizontal="center" readingOrder="0" shrinkToFit="0" vertical="center" wrapText="1"/>
    </xf>
    <xf borderId="85" fillId="6" fontId="7" numFmtId="164" xfId="0" applyAlignment="1" applyBorder="1" applyFont="1" applyNumberFormat="1">
      <alignment horizontal="center" readingOrder="0" shrinkToFit="0" vertical="center" wrapText="1"/>
    </xf>
    <xf borderId="76" fillId="6" fontId="7" numFmtId="0" xfId="0" applyAlignment="1" applyBorder="1" applyFont="1">
      <alignment horizontal="center" readingOrder="0" shrinkToFit="0" vertical="center" wrapText="1"/>
    </xf>
    <xf borderId="86" fillId="6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vertical="center"/>
    </xf>
    <xf borderId="87" fillId="5" fontId="7" numFmtId="0" xfId="0" applyAlignment="1" applyBorder="1" applyFont="1">
      <alignment horizontal="center" vertical="center"/>
    </xf>
    <xf borderId="88" fillId="5" fontId="7" numFmtId="0" xfId="0" applyAlignment="1" applyBorder="1" applyFont="1">
      <alignment horizontal="center" vertical="center"/>
    </xf>
    <xf borderId="89" fillId="5" fontId="7" numFmtId="0" xfId="0" applyAlignment="1" applyBorder="1" applyFont="1">
      <alignment horizontal="center" vertical="center"/>
    </xf>
    <xf borderId="20" fillId="0" fontId="6" numFmtId="0" xfId="0" applyAlignment="1" applyBorder="1" applyFont="1">
      <alignment shrinkToFit="0" vertical="center" wrapText="1"/>
    </xf>
    <xf borderId="24" fillId="2" fontId="1" numFmtId="164" xfId="0" applyAlignment="1" applyBorder="1" applyFont="1" applyNumberFormat="1">
      <alignment horizontal="right" shrinkToFit="0" vertical="center" wrapText="1"/>
    </xf>
    <xf borderId="24" fillId="2" fontId="1" numFmtId="0" xfId="0" applyAlignment="1" applyBorder="1" applyFont="1">
      <alignment horizontal="center" shrinkToFit="0" vertical="center" wrapText="1"/>
    </xf>
    <xf borderId="90" fillId="7" fontId="1" numFmtId="9" xfId="0" applyAlignment="1" applyBorder="1" applyFont="1" applyNumberFormat="1">
      <alignment horizontal="center" vertical="center"/>
    </xf>
    <xf borderId="91" fillId="7" fontId="1" numFmtId="9" xfId="0" applyAlignment="1" applyBorder="1" applyFont="1" applyNumberFormat="1">
      <alignment horizontal="center" vertical="center"/>
    </xf>
    <xf borderId="92" fillId="7" fontId="1" numFmtId="9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shrinkToFit="0" vertical="center" wrapText="1"/>
    </xf>
    <xf borderId="26" fillId="7" fontId="1" numFmtId="9" xfId="0" applyAlignment="1" applyBorder="1" applyFont="1" applyNumberFormat="1">
      <alignment horizontal="center" vertical="center"/>
    </xf>
    <xf borderId="24" fillId="7" fontId="1" numFmtId="9" xfId="0" applyAlignment="1" applyBorder="1" applyFont="1" applyNumberFormat="1">
      <alignment horizontal="center" vertical="center"/>
    </xf>
    <xf borderId="25" fillId="7" fontId="1" numFmtId="9" xfId="0" applyAlignment="1" applyBorder="1" applyFont="1" applyNumberFormat="1">
      <alignment horizontal="center" vertical="center"/>
    </xf>
    <xf borderId="26" fillId="0" fontId="1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24" fillId="7" fontId="22" numFmtId="9" xfId="0" applyAlignment="1" applyBorder="1" applyFont="1" applyNumberFormat="1">
      <alignment horizontal="center" vertical="center"/>
    </xf>
    <xf borderId="25" fillId="7" fontId="22" numFmtId="9" xfId="0" applyAlignment="1" applyBorder="1" applyFont="1" applyNumberFormat="1">
      <alignment horizontal="center" vertical="center"/>
    </xf>
    <xf borderId="26" fillId="7" fontId="22" numFmtId="9" xfId="0" applyAlignment="1" applyBorder="1" applyFont="1" applyNumberFormat="1">
      <alignment horizontal="center" vertical="center"/>
    </xf>
    <xf borderId="28" fillId="2" fontId="17" numFmtId="0" xfId="0" applyAlignment="1" applyBorder="1" applyFont="1">
      <alignment vertical="center"/>
    </xf>
    <xf borderId="93" fillId="5" fontId="7" numFmtId="0" xfId="0" applyAlignment="1" applyBorder="1" applyFont="1">
      <alignment horizontal="center" shrinkToFit="0" vertical="center" wrapText="1"/>
    </xf>
    <xf borderId="94" fillId="0" fontId="3" numFmtId="0" xfId="0" applyBorder="1" applyFont="1"/>
    <xf borderId="95" fillId="0" fontId="3" numFmtId="0" xfId="0" applyBorder="1" applyFont="1"/>
    <xf borderId="86" fillId="5" fontId="7" numFmtId="164" xfId="0" applyAlignment="1" applyBorder="1" applyFont="1" applyNumberFormat="1">
      <alignment horizontal="center" shrinkToFit="0" vertical="center" wrapText="1"/>
    </xf>
    <xf borderId="96" fillId="2" fontId="17" numFmtId="0" xfId="0" applyAlignment="1" applyBorder="1" applyFont="1">
      <alignment vertical="center"/>
    </xf>
    <xf borderId="97" fillId="5" fontId="7" numFmtId="9" xfId="0" applyAlignment="1" applyBorder="1" applyFont="1" applyNumberFormat="1">
      <alignment horizontal="center" vertical="center"/>
    </xf>
    <xf borderId="98" fillId="5" fontId="7" numFmtId="9" xfId="0" applyAlignment="1" applyBorder="1" applyFont="1" applyNumberFormat="1">
      <alignment horizontal="center" vertical="center"/>
    </xf>
    <xf borderId="99" fillId="5" fontId="7" numFmtId="9" xfId="0" applyAlignment="1" applyBorder="1" applyFont="1" applyNumberFormat="1">
      <alignment horizontal="center" vertical="center"/>
    </xf>
    <xf borderId="64" fillId="14" fontId="7" numFmtId="0" xfId="0" applyAlignment="1" applyBorder="1" applyFont="1">
      <alignment horizontal="center" vertical="center"/>
    </xf>
    <xf borderId="64" fillId="2" fontId="1" numFmtId="164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9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100" fillId="2" fontId="17" numFmtId="0" xfId="0" applyAlignment="1" applyBorder="1" applyFont="1">
      <alignment vertical="center"/>
    </xf>
    <xf borderId="101" fillId="3" fontId="19" numFmtId="0" xfId="0" applyAlignment="1" applyBorder="1" applyFont="1">
      <alignment horizontal="center" readingOrder="0" vertical="center"/>
    </xf>
    <xf borderId="102" fillId="3" fontId="19" numFmtId="0" xfId="0" applyAlignment="1" applyBorder="1" applyFont="1">
      <alignment horizontal="center" vertical="center"/>
    </xf>
    <xf borderId="103" fillId="2" fontId="7" numFmtId="0" xfId="0" applyAlignment="1" applyBorder="1" applyFont="1">
      <alignment horizontal="center" vertical="center"/>
    </xf>
    <xf borderId="104" fillId="2" fontId="17" numFmtId="0" xfId="0" applyAlignment="1" applyBorder="1" applyFont="1">
      <alignment vertical="center"/>
    </xf>
    <xf borderId="36" fillId="2" fontId="17" numFmtId="0" xfId="0" applyAlignment="1" applyBorder="1" applyFont="1">
      <alignment vertical="center"/>
    </xf>
    <xf borderId="105" fillId="15" fontId="20" numFmtId="0" xfId="0" applyAlignment="1" applyBorder="1" applyFill="1" applyFont="1">
      <alignment horizontal="left" vertical="center"/>
    </xf>
    <xf borderId="29" fillId="7" fontId="20" numFmtId="164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vertical="center"/>
    </xf>
    <xf borderId="106" fillId="15" fontId="20" numFmtId="0" xfId="0" applyAlignment="1" applyBorder="1" applyFont="1">
      <alignment horizontal="left" vertical="center"/>
    </xf>
    <xf borderId="29" fillId="7" fontId="20" numFmtId="164" xfId="0" applyAlignment="1" applyBorder="1" applyFont="1" applyNumberFormat="1">
      <alignment horizontal="right" vertical="center"/>
    </xf>
    <xf borderId="107" fillId="7" fontId="20" numFmtId="164" xfId="0" applyAlignment="1" applyBorder="1" applyFont="1" applyNumberFormat="1">
      <alignment horizontal="right" vertical="center"/>
    </xf>
    <xf borderId="108" fillId="7" fontId="20" numFmtId="164" xfId="0" applyAlignment="1" applyBorder="1" applyFont="1" applyNumberFormat="1">
      <alignment horizontal="right" vertical="center"/>
    </xf>
    <xf borderId="107" fillId="7" fontId="20" numFmtId="164" xfId="0" applyAlignment="1" applyBorder="1" applyFont="1" applyNumberFormat="1">
      <alignment vertical="center"/>
    </xf>
    <xf borderId="109" fillId="15" fontId="20" numFmtId="0" xfId="0" applyAlignment="1" applyBorder="1" applyFont="1">
      <alignment horizontal="left" vertical="center"/>
    </xf>
    <xf borderId="108" fillId="7" fontId="20" numFmtId="164" xfId="0" applyAlignment="1" applyBorder="1" applyFont="1" applyNumberFormat="1">
      <alignment vertical="center"/>
    </xf>
    <xf borderId="110" fillId="10" fontId="21" numFmtId="0" xfId="0" applyAlignment="1" applyBorder="1" applyFont="1">
      <alignment horizontal="center" readingOrder="0" vertical="center"/>
    </xf>
    <xf borderId="111" fillId="0" fontId="3" numFmtId="0" xfId="0" applyBorder="1" applyFont="1"/>
    <xf borderId="112" fillId="0" fontId="3" numFmtId="0" xfId="0" applyBorder="1" applyFont="1"/>
    <xf borderId="113" fillId="10" fontId="21" numFmtId="164" xfId="0" applyAlignment="1" applyBorder="1" applyFont="1" applyNumberFormat="1">
      <alignment horizontal="center" vertical="center"/>
    </xf>
    <xf borderId="36" fillId="2" fontId="6" numFmtId="164" xfId="0" applyAlignment="1" applyBorder="1" applyFont="1" applyNumberFormat="1">
      <alignment horizontal="center" vertical="center"/>
    </xf>
    <xf borderId="56" fillId="11" fontId="7" numFmtId="0" xfId="0" applyAlignment="1" applyBorder="1" applyFont="1">
      <alignment horizontal="center" readingOrder="0" vertical="center"/>
    </xf>
    <xf borderId="76" fillId="11" fontId="7" numFmtId="164" xfId="0" applyAlignment="1" applyBorder="1" applyFont="1" applyNumberFormat="1">
      <alignment horizontal="center" vertical="center"/>
    </xf>
    <xf borderId="76" fillId="6" fontId="7" numFmtId="164" xfId="0" applyAlignment="1" applyBorder="1" applyFont="1" applyNumberFormat="1">
      <alignment horizontal="center" readingOrder="0" vertical="center"/>
    </xf>
    <xf borderId="56" fillId="6" fontId="7" numFmtId="0" xfId="0" applyAlignment="1" applyBorder="1" applyFont="1">
      <alignment horizontal="center" vertical="center"/>
    </xf>
    <xf borderId="66" fillId="0" fontId="1" numFmtId="0" xfId="0" applyAlignment="1" applyBorder="1" applyFont="1">
      <alignment readingOrder="0" vertical="center"/>
    </xf>
    <xf borderId="24" fillId="2" fontId="1" numFmtId="164" xfId="0" applyAlignment="1" applyBorder="1" applyFont="1" applyNumberFormat="1">
      <alignment horizontal="right" readingOrder="0" vertical="center"/>
    </xf>
    <xf borderId="24" fillId="2" fontId="1" numFmtId="0" xfId="0" applyAlignment="1" applyBorder="1" applyFont="1">
      <alignment horizontal="center" readingOrder="0" vertical="center"/>
    </xf>
    <xf borderId="69" fillId="7" fontId="1" numFmtId="164" xfId="0" applyAlignment="1" applyBorder="1" applyFont="1" applyNumberFormat="1">
      <alignment vertical="center"/>
    </xf>
    <xf borderId="114" fillId="7" fontId="1" numFmtId="9" xfId="0" applyAlignment="1" applyBorder="1" applyFont="1" applyNumberFormat="1">
      <alignment horizontal="center" vertical="center"/>
    </xf>
    <xf borderId="115" fillId="7" fontId="1" numFmtId="9" xfId="0" applyAlignment="1" applyBorder="1" applyFont="1" applyNumberFormat="1">
      <alignment horizontal="center" vertical="center"/>
    </xf>
    <xf borderId="116" fillId="7" fontId="1" numFmtId="9" xfId="0" applyAlignment="1" applyBorder="1" applyFont="1" applyNumberFormat="1">
      <alignment horizontal="center" vertical="center"/>
    </xf>
    <xf borderId="70" fillId="0" fontId="1" numFmtId="0" xfId="0" applyAlignment="1" applyBorder="1" applyFont="1">
      <alignment readingOrder="0" vertical="center"/>
    </xf>
    <xf borderId="70" fillId="8" fontId="1" numFmtId="0" xfId="0" applyAlignment="1" applyBorder="1" applyFont="1">
      <alignment readingOrder="0" vertical="center"/>
    </xf>
    <xf borderId="117" fillId="2" fontId="1" numFmtId="0" xfId="0" applyAlignment="1" applyBorder="1" applyFont="1">
      <alignment readingOrder="0" vertical="center"/>
    </xf>
    <xf borderId="72" fillId="2" fontId="1" numFmtId="0" xfId="0" applyAlignment="1" applyBorder="1" applyFont="1">
      <alignment readingOrder="0" vertical="center"/>
    </xf>
    <xf borderId="72" fillId="2" fontId="1" numFmtId="0" xfId="0" applyAlignment="1" applyBorder="1" applyFont="1">
      <alignment horizontal="left" readingOrder="0" vertical="center"/>
    </xf>
    <xf borderId="76" fillId="6" fontId="7" numFmtId="164" xfId="0" applyAlignment="1" applyBorder="1" applyFont="1" applyNumberFormat="1">
      <alignment horizontal="center" vertical="center"/>
    </xf>
    <xf borderId="118" fillId="5" fontId="7" numFmtId="9" xfId="0" applyAlignment="1" applyBorder="1" applyFont="1" applyNumberFormat="1">
      <alignment horizontal="center" vertical="center"/>
    </xf>
    <xf borderId="119" fillId="5" fontId="7" numFmtId="9" xfId="0" applyAlignment="1" applyBorder="1" applyFont="1" applyNumberFormat="1">
      <alignment horizontal="center" vertical="center"/>
    </xf>
    <xf borderId="120" fillId="5" fontId="7" numFmtId="9" xfId="0" applyAlignment="1" applyBorder="1" applyFont="1" applyNumberFormat="1">
      <alignment horizontal="center" vertical="center"/>
    </xf>
    <xf borderId="1" fillId="14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17" fillId="7" fontId="1" numFmtId="9" xfId="0" applyAlignment="1" applyBorder="1" applyFont="1" applyNumberFormat="1">
      <alignment horizontal="center" vertical="center"/>
    </xf>
    <xf borderId="75" fillId="7" fontId="1" numFmtId="9" xfId="0" applyAlignment="1" applyBorder="1" applyFont="1" applyNumberFormat="1">
      <alignment horizontal="center" vertical="center"/>
    </xf>
    <xf borderId="121" fillId="7" fontId="1" numFmtId="9" xfId="0" applyAlignment="1" applyBorder="1" applyFont="1" applyNumberFormat="1">
      <alignment horizontal="center" vertical="center"/>
    </xf>
    <xf borderId="122" fillId="2" fontId="1" numFmtId="0" xfId="0" applyAlignment="1" applyBorder="1" applyFont="1">
      <alignment horizontal="center" readingOrder="0" vertical="center"/>
    </xf>
    <xf borderId="48" fillId="2" fontId="1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74" fillId="2" fontId="1" numFmtId="0" xfId="0" applyAlignment="1" applyBorder="1" applyFont="1">
      <alignment horizontal="center" readingOrder="0" vertical="center"/>
    </xf>
    <xf borderId="76" fillId="6" fontId="7" numFmtId="168" xfId="0" applyAlignment="1" applyBorder="1" applyFont="1" applyNumberFormat="1">
      <alignment horizontal="center" vertical="center"/>
    </xf>
    <xf borderId="75" fillId="2" fontId="1" numFmtId="0" xfId="0" applyAlignment="1" applyBorder="1" applyFont="1">
      <alignment horizontal="center" readingOrder="0" vertical="center"/>
    </xf>
    <xf borderId="123" fillId="7" fontId="1" numFmtId="9" xfId="0" applyAlignment="1" applyBorder="1" applyFont="1" applyNumberFormat="1">
      <alignment horizontal="center" vertical="center"/>
    </xf>
    <xf borderId="124" fillId="7" fontId="1" numFmtId="9" xfId="0" applyAlignment="1" applyBorder="1" applyFont="1" applyNumberFormat="1">
      <alignment horizontal="center" vertical="center"/>
    </xf>
    <xf borderId="125" fillId="7" fontId="1" numFmtId="9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21" fillId="2" fontId="1" numFmtId="164" xfId="0" applyAlignment="1" applyBorder="1" applyFont="1" applyNumberFormat="1">
      <alignment horizontal="right" readingOrder="0" vertical="center"/>
    </xf>
    <xf borderId="21" fillId="2" fontId="1" numFmtId="0" xfId="0" applyAlignment="1" applyBorder="1" applyFont="1">
      <alignment horizontal="center" readingOrder="0" vertical="center"/>
    </xf>
    <xf borderId="24" fillId="2" fontId="1" numFmtId="164" xfId="0" applyAlignment="1" applyBorder="1" applyFont="1" applyNumberFormat="1">
      <alignment readingOrder="0" vertical="center"/>
    </xf>
    <xf borderId="75" fillId="2" fontId="1" numFmtId="164" xfId="0" applyAlignment="1" applyBorder="1" applyFont="1" applyNumberFormat="1">
      <alignment vertical="center"/>
    </xf>
    <xf borderId="75" fillId="2" fontId="1" numFmtId="0" xfId="0" applyAlignment="1" applyBorder="1" applyFont="1">
      <alignment horizontal="center" vertical="center"/>
    </xf>
    <xf borderId="24" fillId="2" fontId="1" numFmtId="164" xfId="0" applyAlignment="1" applyBorder="1" applyFont="1" applyNumberFormat="1">
      <alignment horizontal="right" vertical="center"/>
    </xf>
    <xf borderId="122" fillId="2" fontId="6" numFmtId="164" xfId="0" applyAlignment="1" applyBorder="1" applyFont="1" applyNumberFormat="1">
      <alignment horizontal="center" vertical="center"/>
    </xf>
    <xf borderId="77" fillId="7" fontId="1" numFmtId="164" xfId="0" applyAlignment="1" applyBorder="1" applyFont="1" applyNumberFormat="1">
      <alignment vertical="center"/>
    </xf>
    <xf borderId="0" fillId="2" fontId="23" numFmtId="0" xfId="0" applyAlignment="1" applyFont="1">
      <alignment shrinkToFit="0" vertical="center" wrapText="1"/>
    </xf>
    <xf borderId="0" fillId="2" fontId="23" numFmtId="0" xfId="0" applyAlignment="1" applyFont="1">
      <alignment horizontal="center" shrinkToFit="0" vertical="center" wrapText="1"/>
    </xf>
    <xf borderId="0" fillId="16" fontId="24" numFmtId="0" xfId="0" applyAlignment="1" applyFill="1" applyFont="1">
      <alignment horizontal="center" readingOrder="0" shrinkToFit="0" vertical="center" wrapText="1"/>
    </xf>
    <xf borderId="0" fillId="2" fontId="23" numFmtId="4" xfId="0" applyAlignment="1" applyFont="1" applyNumberFormat="1">
      <alignment shrinkToFit="0" vertical="center" wrapText="1"/>
    </xf>
    <xf borderId="2" fillId="2" fontId="23" numFmtId="0" xfId="0" applyAlignment="1" applyBorder="1" applyFont="1">
      <alignment shrinkToFit="0" vertical="center" wrapText="1"/>
    </xf>
    <xf borderId="1" fillId="2" fontId="23" numFmtId="0" xfId="0" applyAlignment="1" applyBorder="1" applyFont="1">
      <alignment shrinkToFit="0" vertical="center" wrapText="1"/>
    </xf>
    <xf borderId="2" fillId="17" fontId="25" numFmtId="0" xfId="0" applyAlignment="1" applyBorder="1" applyFill="1" applyFont="1">
      <alignment horizontal="center" readingOrder="0" shrinkToFit="0" vertical="center" wrapText="1"/>
    </xf>
    <xf borderId="1" fillId="2" fontId="23" numFmtId="4" xfId="0" applyAlignment="1" applyBorder="1" applyFont="1" applyNumberFormat="1">
      <alignment shrinkToFit="0" vertical="center" wrapText="1"/>
    </xf>
    <xf borderId="2" fillId="17" fontId="18" numFmtId="0" xfId="0" applyAlignment="1" applyBorder="1" applyFont="1">
      <alignment horizontal="center" readingOrder="0" shrinkToFit="0" vertical="center" wrapText="1"/>
    </xf>
    <xf borderId="31" fillId="17" fontId="26" numFmtId="0" xfId="0" applyAlignment="1" applyBorder="1" applyFont="1">
      <alignment horizontal="center" readingOrder="0" shrinkToFit="0" vertical="center" wrapText="1"/>
    </xf>
    <xf borderId="126" fillId="14" fontId="27" numFmtId="0" xfId="0" applyAlignment="1" applyBorder="1" applyFont="1">
      <alignment horizontal="center" readingOrder="0" shrinkToFit="0" vertical="center" wrapText="1"/>
    </xf>
    <xf borderId="127" fillId="14" fontId="27" numFmtId="0" xfId="0" applyAlignment="1" applyBorder="1" applyFont="1">
      <alignment horizontal="center" readingOrder="0" shrinkToFit="0" vertical="center" wrapText="1"/>
    </xf>
    <xf borderId="128" fillId="14" fontId="27" numFmtId="0" xfId="0" applyAlignment="1" applyBorder="1" applyFont="1">
      <alignment horizontal="center" readingOrder="0" shrinkToFit="0" vertical="center" wrapText="1"/>
    </xf>
    <xf borderId="85" fillId="14" fontId="27" numFmtId="169" xfId="0" applyAlignment="1" applyBorder="1" applyFont="1" applyNumberFormat="1">
      <alignment horizontal="center" shrinkToFit="0" vertical="center" wrapText="1"/>
    </xf>
    <xf borderId="129" fillId="14" fontId="27" numFmtId="169" xfId="0" applyAlignment="1" applyBorder="1" applyFont="1" applyNumberFormat="1">
      <alignment horizontal="center" readingOrder="0" shrinkToFit="0" vertical="center" wrapText="1"/>
    </xf>
    <xf borderId="126" fillId="14" fontId="27" numFmtId="169" xfId="0" applyAlignment="1" applyBorder="1" applyFont="1" applyNumberFormat="1">
      <alignment horizontal="center" shrinkToFit="0" vertical="center" wrapText="1"/>
    </xf>
    <xf borderId="130" fillId="15" fontId="28" numFmtId="4" xfId="0" applyAlignment="1" applyBorder="1" applyFont="1" applyNumberFormat="1">
      <alignment horizontal="center" shrinkToFit="0" vertical="center" wrapText="1"/>
    </xf>
    <xf borderId="130" fillId="15" fontId="28" numFmtId="4" xfId="0" applyAlignment="1" applyBorder="1" applyFont="1" applyNumberFormat="1">
      <alignment horizontal="center" readingOrder="0" shrinkToFit="0" vertical="center" wrapText="1"/>
    </xf>
    <xf borderId="130" fillId="18" fontId="28" numFmtId="4" xfId="0" applyAlignment="1" applyBorder="1" applyFill="1" applyFont="1" applyNumberFormat="1">
      <alignment horizontal="center" readingOrder="0" shrinkToFit="0" vertical="center" wrapText="1"/>
    </xf>
    <xf borderId="0" fillId="18" fontId="28" numFmtId="4" xfId="0" applyAlignment="1" applyFont="1" applyNumberFormat="1">
      <alignment horizontal="center" readingOrder="0" shrinkToFit="0" vertical="center" wrapText="1"/>
    </xf>
    <xf borderId="14" fillId="14" fontId="19" numFmtId="0" xfId="0" applyAlignment="1" applyBorder="1" applyFont="1">
      <alignment horizontal="center" readingOrder="0" shrinkToFit="0" vertical="center" wrapText="1"/>
    </xf>
    <xf borderId="131" fillId="14" fontId="19" numFmtId="0" xfId="0" applyAlignment="1" applyBorder="1" applyFont="1">
      <alignment horizontal="center" readingOrder="0" shrinkToFit="0" vertical="center" wrapText="1"/>
    </xf>
    <xf borderId="132" fillId="0" fontId="3" numFmtId="0" xfId="0" applyBorder="1" applyFont="1"/>
    <xf borderId="78" fillId="0" fontId="3" numFmtId="0" xfId="0" applyBorder="1" applyFont="1"/>
    <xf borderId="133" fillId="0" fontId="3" numFmtId="0" xfId="0" applyBorder="1" applyFont="1"/>
    <xf borderId="74" fillId="7" fontId="23" numFmtId="169" xfId="0" applyAlignment="1" applyBorder="1" applyFont="1" applyNumberFormat="1">
      <alignment horizontal="right" readingOrder="0" shrinkToFit="0" vertical="center" wrapText="1"/>
    </xf>
    <xf borderId="74" fillId="7" fontId="23" numFmtId="169" xfId="0" applyAlignment="1" applyBorder="1" applyFont="1" applyNumberFormat="1">
      <alignment horizontal="right" shrinkToFit="0" vertical="center" wrapText="1"/>
    </xf>
    <xf borderId="134" fillId="3" fontId="29" numFmtId="4" xfId="0" applyAlignment="1" applyBorder="1" applyFont="1" applyNumberFormat="1">
      <alignment horizontal="center" shrinkToFit="0" vertical="center" wrapText="1"/>
    </xf>
    <xf borderId="135" fillId="0" fontId="3" numFmtId="0" xfId="0" applyBorder="1" applyFont="1"/>
    <xf borderId="136" fillId="0" fontId="3" numFmtId="0" xfId="0" applyBorder="1" applyFont="1"/>
    <xf borderId="137" fillId="0" fontId="3" numFmtId="0" xfId="0" applyBorder="1" applyFont="1"/>
    <xf borderId="74" fillId="12" fontId="30" numFmtId="169" xfId="0" applyAlignment="1" applyBorder="1" applyFont="1" applyNumberFormat="1">
      <alignment horizontal="center" readingOrder="0" shrinkToFit="0" vertical="center" wrapText="1"/>
    </xf>
    <xf borderId="70" fillId="0" fontId="3" numFmtId="0" xfId="0" applyBorder="1" applyFont="1"/>
    <xf borderId="67" fillId="0" fontId="3" numFmtId="0" xfId="0" applyBorder="1" applyFont="1"/>
    <xf borderId="138" fillId="0" fontId="3" numFmtId="0" xfId="0" applyBorder="1" applyFont="1"/>
    <xf borderId="21" fillId="0" fontId="3" numFmtId="0" xfId="0" applyBorder="1" applyFont="1"/>
    <xf borderId="139" fillId="7" fontId="31" numFmtId="0" xfId="0" applyAlignment="1" applyBorder="1" applyFont="1">
      <alignment horizontal="center" readingOrder="0" shrinkToFit="0" vertical="center" wrapText="1"/>
    </xf>
    <xf borderId="140" fillId="0" fontId="3" numFmtId="0" xfId="0" applyBorder="1" applyFont="1"/>
    <xf borderId="141" fillId="2" fontId="31" numFmtId="168" xfId="0" applyAlignment="1" applyBorder="1" applyFont="1" applyNumberFormat="1">
      <alignment readingOrder="0" shrinkToFit="0" vertical="center" wrapText="1"/>
    </xf>
    <xf borderId="139" fillId="2" fontId="31" numFmtId="168" xfId="0" applyAlignment="1" applyBorder="1" applyFont="1" applyNumberFormat="1">
      <alignment readingOrder="0" shrinkToFit="0" vertical="center" wrapText="1"/>
    </xf>
    <xf borderId="131" fillId="7" fontId="32" numFmtId="169" xfId="0" applyAlignment="1" applyBorder="1" applyFont="1" applyNumberFormat="1">
      <alignment horizontal="right" shrinkToFit="0" vertical="center" wrapText="1"/>
    </xf>
    <xf borderId="16" fillId="7" fontId="31" numFmtId="10" xfId="0" applyAlignment="1" applyBorder="1" applyFont="1" applyNumberFormat="1">
      <alignment horizontal="center" shrinkToFit="0" vertical="center" wrapText="1"/>
    </xf>
    <xf borderId="24" fillId="0" fontId="33" numFmtId="170" xfId="0" applyAlignment="1" applyBorder="1" applyFont="1" applyNumberFormat="1">
      <alignment horizontal="center" readingOrder="0" shrinkToFit="0" vertical="center" wrapText="1"/>
    </xf>
    <xf borderId="24" fillId="0" fontId="23" numFmtId="0" xfId="0" applyAlignment="1" applyBorder="1" applyFont="1">
      <alignment readingOrder="0" shrinkToFit="0" vertical="center" wrapText="1"/>
    </xf>
    <xf borderId="24" fillId="0" fontId="32" numFmtId="0" xfId="0" applyAlignment="1" applyBorder="1" applyFont="1">
      <alignment readingOrder="0" shrinkToFit="0" vertical="center" wrapText="1"/>
    </xf>
    <xf borderId="24" fillId="0" fontId="23" numFmtId="169" xfId="0" applyAlignment="1" applyBorder="1" applyFont="1" applyNumberFormat="1">
      <alignment horizontal="right" readingOrder="0" shrinkToFit="0" vertical="center" wrapText="1"/>
    </xf>
    <xf borderId="24" fillId="0" fontId="32" numFmtId="169" xfId="0" applyAlignment="1" applyBorder="1" applyFont="1" applyNumberFormat="1">
      <alignment readingOrder="0" shrinkToFit="0" vertical="center" wrapText="1"/>
    </xf>
    <xf borderId="21" fillId="8" fontId="32" numFmtId="169" xfId="0" applyAlignment="1" applyBorder="1" applyFont="1" applyNumberFormat="1">
      <alignment horizontal="center" readingOrder="0" shrinkToFit="0" vertical="center" wrapText="1"/>
    </xf>
    <xf borderId="21" fillId="7" fontId="32" numFmtId="169" xfId="0" applyAlignment="1" applyBorder="1" applyFont="1" applyNumberFormat="1">
      <alignment horizontal="right" shrinkToFit="0" vertical="center" wrapText="1"/>
    </xf>
    <xf borderId="24" fillId="0" fontId="23" numFmtId="170" xfId="0" applyAlignment="1" applyBorder="1" applyFont="1" applyNumberFormat="1">
      <alignment horizontal="center" readingOrder="0" shrinkToFit="0" vertical="center" wrapText="1"/>
    </xf>
    <xf borderId="139" fillId="0" fontId="3" numFmtId="0" xfId="0" applyBorder="1" applyFont="1"/>
    <xf borderId="141" fillId="0" fontId="3" numFmtId="0" xfId="0" applyBorder="1" applyFont="1"/>
    <xf borderId="142" fillId="0" fontId="3" numFmtId="0" xfId="0" applyBorder="1" applyFont="1"/>
    <xf borderId="143" fillId="0" fontId="3" numFmtId="0" xfId="0" applyBorder="1" applyFont="1"/>
    <xf borderId="1" fillId="2" fontId="23" numFmtId="4" xfId="0" applyAlignment="1" applyBorder="1" applyFont="1" applyNumberFormat="1">
      <alignment readingOrder="0" shrinkToFit="0" vertical="center" wrapText="1"/>
    </xf>
    <xf borderId="144" fillId="0" fontId="3" numFmtId="0" xfId="0" applyBorder="1" applyFont="1"/>
    <xf borderId="145" fillId="0" fontId="3" numFmtId="0" xfId="0" applyBorder="1" applyFont="1"/>
    <xf borderId="146" fillId="0" fontId="3" numFmtId="0" xfId="0" applyBorder="1" applyFont="1"/>
    <xf borderId="147" fillId="7" fontId="31" numFmtId="0" xfId="0" applyAlignment="1" applyBorder="1" applyFont="1">
      <alignment horizontal="center" readingOrder="0" shrinkToFit="0" vertical="center" wrapText="1"/>
    </xf>
    <xf borderId="148" fillId="0" fontId="3" numFmtId="0" xfId="0" applyBorder="1" applyFont="1"/>
    <xf borderId="24" fillId="0" fontId="32" numFmtId="169" xfId="0" applyAlignment="1" applyBorder="1" applyFont="1" applyNumberFormat="1">
      <alignment shrinkToFit="0" vertical="center" wrapText="1"/>
    </xf>
    <xf borderId="24" fillId="0" fontId="23" numFmtId="169" xfId="0" applyAlignment="1" applyBorder="1" applyFont="1" applyNumberFormat="1">
      <alignment horizontal="right" shrinkToFit="0" vertical="center" wrapText="1"/>
    </xf>
    <xf borderId="10" fillId="2" fontId="23" numFmtId="0" xfId="0" applyAlignment="1" applyBorder="1" applyFont="1">
      <alignment shrinkToFit="0" vertical="center" wrapText="1"/>
    </xf>
    <xf borderId="135" fillId="14" fontId="34" numFmtId="0" xfId="0" applyAlignment="1" applyBorder="1" applyFont="1">
      <alignment horizontal="center" readingOrder="0" shrinkToFit="0" vertical="center" wrapText="1"/>
    </xf>
    <xf borderId="149" fillId="0" fontId="3" numFmtId="0" xfId="0" applyBorder="1" applyFont="1"/>
    <xf borderId="137" fillId="14" fontId="34" numFmtId="0" xfId="0" applyAlignment="1" applyBorder="1" applyFont="1">
      <alignment horizontal="center" readingOrder="0" shrinkToFit="0" vertical="center" wrapText="1"/>
    </xf>
    <xf borderId="18" fillId="7" fontId="35" numFmtId="10" xfId="0" applyAlignment="1" applyBorder="1" applyFont="1" applyNumberFormat="1">
      <alignment horizontal="center" shrinkToFit="0" vertical="center" wrapText="1"/>
    </xf>
    <xf borderId="24" fillId="0" fontId="23" numFmtId="169" xfId="0" applyAlignment="1" applyBorder="1" applyFont="1" applyNumberFormat="1">
      <alignment readingOrder="0" shrinkToFit="0" vertical="center" wrapText="1"/>
    </xf>
    <xf borderId="24" fillId="0" fontId="23" numFmtId="169" xfId="0" applyAlignment="1" applyBorder="1" applyFont="1" applyNumberFormat="1">
      <alignment shrinkToFit="0" vertical="center" wrapText="1"/>
    </xf>
    <xf borderId="24" fillId="0" fontId="35" numFmtId="0" xfId="0" applyAlignment="1" applyBorder="1" applyFont="1">
      <alignment readingOrder="0" shrinkToFit="0" vertical="center" wrapText="1"/>
    </xf>
    <xf borderId="24" fillId="8" fontId="32" numFmtId="169" xfId="0" applyAlignment="1" applyBorder="1" applyFont="1" applyNumberFormat="1">
      <alignment horizontal="center" readingOrder="0" shrinkToFit="0" vertical="center" wrapText="1"/>
    </xf>
    <xf borderId="24" fillId="0" fontId="36" numFmtId="0" xfId="0" applyAlignment="1" applyBorder="1" applyFont="1">
      <alignment readingOrder="0" shrinkToFit="0" wrapText="1"/>
    </xf>
    <xf borderId="24" fillId="0" fontId="32" numFmtId="169" xfId="0" applyAlignment="1" applyBorder="1" applyFont="1" applyNumberFormat="1">
      <alignment horizontal="right" shrinkToFit="0" wrapText="1"/>
    </xf>
    <xf borderId="64" fillId="2" fontId="23" numFmtId="0" xfId="0" applyAlignment="1" applyBorder="1" applyFont="1">
      <alignment shrinkToFit="0" vertical="center" wrapText="1"/>
    </xf>
    <xf borderId="64" fillId="2" fontId="23" numFmtId="4" xfId="0" applyAlignment="1" applyBorder="1" applyFont="1" applyNumberFormat="1">
      <alignment shrinkToFit="0" vertical="center" wrapText="1"/>
    </xf>
    <xf borderId="24" fillId="0" fontId="32" numFmtId="0" xfId="0" applyAlignment="1" applyBorder="1" applyFont="1">
      <alignment readingOrder="0" shrinkToFit="0" wrapText="1"/>
    </xf>
    <xf borderId="21" fillId="8" fontId="23" numFmtId="169" xfId="0" applyAlignment="1" applyBorder="1" applyFont="1" applyNumberFormat="1">
      <alignment horizontal="center" readingOrder="0" shrinkToFit="0" vertical="center" wrapText="1"/>
    </xf>
    <xf borderId="24" fillId="0" fontId="1" numFmtId="170" xfId="0" applyAlignment="1" applyBorder="1" applyFont="1" applyNumberFormat="1">
      <alignment horizontal="center" readingOrder="0" shrinkToFit="0" vertical="center" wrapText="1"/>
    </xf>
    <xf borderId="24" fillId="8" fontId="23" numFmtId="169" xfId="0" applyAlignment="1" applyBorder="1" applyFont="1" applyNumberFormat="1">
      <alignment horizontal="center" shrinkToFit="0" vertical="center" wrapText="1"/>
    </xf>
    <xf borderId="24" fillId="0" fontId="12" numFmtId="170" xfId="0" applyAlignment="1" applyBorder="1" applyFont="1" applyNumberFormat="1">
      <alignment horizontal="center" shrinkToFit="0" wrapText="1"/>
    </xf>
    <xf borderId="24" fillId="0" fontId="32" numFmtId="0" xfId="0" applyAlignment="1" applyBorder="1" applyFont="1">
      <alignment shrinkToFit="0" wrapText="1"/>
    </xf>
    <xf borderId="24" fillId="0" fontId="37" numFmtId="169" xfId="0" applyBorder="1" applyFont="1" applyNumberFormat="1"/>
    <xf borderId="24" fillId="0" fontId="12" numFmtId="170" xfId="0" applyAlignment="1" applyBorder="1" applyFont="1" applyNumberFormat="1">
      <alignment horizontal="center" shrinkToFit="0" vertical="bottom" wrapText="1"/>
    </xf>
    <xf borderId="24" fillId="0" fontId="32" numFmtId="0" xfId="0" applyAlignment="1" applyBorder="1" applyFont="1">
      <alignment shrinkToFit="0" vertical="bottom" wrapText="1"/>
    </xf>
    <xf borderId="24" fillId="0" fontId="37" numFmtId="169" xfId="0" applyAlignment="1" applyBorder="1" applyFont="1" applyNumberFormat="1">
      <alignment vertical="bottom"/>
    </xf>
    <xf borderId="24" fillId="0" fontId="32" numFmtId="169" xfId="0" applyAlignment="1" applyBorder="1" applyFont="1" applyNumberFormat="1">
      <alignment horizontal="right" shrinkToFit="0" vertical="bottom" wrapText="1"/>
    </xf>
    <xf borderId="24" fillId="0" fontId="32" numFmtId="169" xfId="0" applyAlignment="1" applyBorder="1" applyFont="1" applyNumberFormat="1">
      <alignment horizontal="right" readingOrder="0" shrinkToFit="0" vertical="bottom" wrapText="1"/>
    </xf>
    <xf borderId="24" fillId="0" fontId="12" numFmtId="170" xfId="0" applyAlignment="1" applyBorder="1" applyFont="1" applyNumberFormat="1">
      <alignment horizontal="center" readingOrder="0" shrinkToFit="0" vertical="bottom" wrapText="1"/>
    </xf>
    <xf borderId="24" fillId="0" fontId="32" numFmtId="0" xfId="0" applyAlignment="1" applyBorder="1" applyFont="1">
      <alignment readingOrder="0" shrinkToFit="0" vertical="bottom" wrapText="1"/>
    </xf>
    <xf borderId="24" fillId="0" fontId="35" numFmtId="169" xfId="0" applyAlignment="1" applyBorder="1" applyFont="1" applyNumberFormat="1">
      <alignment shrinkToFit="0" vertical="center" wrapText="1"/>
    </xf>
    <xf borderId="24" fillId="0" fontId="35" numFmtId="169" xfId="0" applyAlignment="1" applyBorder="1" applyFont="1" applyNumberFormat="1">
      <alignment readingOrder="0" shrinkToFit="0" vertical="center" wrapText="1"/>
    </xf>
    <xf borderId="24" fillId="0" fontId="38" numFmtId="170" xfId="0" applyAlignment="1" applyBorder="1" applyFont="1" applyNumberFormat="1">
      <alignment horizontal="center" readingOrder="0" shrinkToFit="0" vertical="bottom" wrapText="1"/>
    </xf>
    <xf borderId="1" fillId="2" fontId="23" numFmtId="0" xfId="0" applyAlignment="1" applyBorder="1" applyFont="1">
      <alignment readingOrder="0" shrinkToFit="0" vertical="center" wrapText="1"/>
    </xf>
    <xf borderId="1" fillId="2" fontId="23" numFmtId="9" xfId="0" applyAlignment="1" applyBorder="1" applyFont="1" applyNumberFormat="1">
      <alignment readingOrder="0" shrinkToFit="0" vertical="center" wrapText="1"/>
    </xf>
    <xf borderId="1" fillId="2" fontId="35" numFmtId="4" xfId="0" applyAlignment="1" applyBorder="1" applyFont="1" applyNumberFormat="1">
      <alignment shrinkToFit="0" vertical="center" wrapText="1"/>
    </xf>
    <xf borderId="24" fillId="0" fontId="23" numFmtId="171" xfId="0" applyAlignment="1" applyBorder="1" applyFont="1" applyNumberFormat="1">
      <alignment horizontal="center" readingOrder="0" shrinkToFit="0" vertical="center" wrapText="1"/>
    </xf>
    <xf borderId="21" fillId="7" fontId="36" numFmtId="169" xfId="0" applyAlignment="1" applyBorder="1" applyFont="1" applyNumberFormat="1">
      <alignment horizontal="right" shrinkToFit="0" vertical="center" wrapText="1"/>
    </xf>
    <xf borderId="1" fillId="2" fontId="39" numFmtId="0" xfId="0" applyBorder="1" applyFont="1"/>
    <xf borderId="2" fillId="19" fontId="40" numFmtId="0" xfId="0" applyAlignment="1" applyBorder="1" applyFill="1" applyFont="1">
      <alignment horizontal="center" readingOrder="0" vertical="center"/>
    </xf>
    <xf borderId="24" fillId="20" fontId="19" numFmtId="0" xfId="0" applyAlignment="1" applyBorder="1" applyFill="1" applyFont="1">
      <alignment horizontal="center"/>
    </xf>
    <xf borderId="24" fillId="20" fontId="19" numFmtId="165" xfId="0" applyAlignment="1" applyBorder="1" applyFont="1" applyNumberFormat="1">
      <alignment horizontal="center"/>
    </xf>
    <xf borderId="1" fillId="2" fontId="41" numFmtId="0" xfId="0" applyAlignment="1" applyBorder="1" applyFont="1">
      <alignment horizontal="center"/>
    </xf>
    <xf borderId="2" fillId="2" fontId="39" numFmtId="0" xfId="0" applyBorder="1" applyFont="1"/>
    <xf borderId="150" fillId="8" fontId="39" numFmtId="0" xfId="0" applyAlignment="1" applyBorder="1" applyFont="1">
      <alignment readingOrder="0" vertical="bottom"/>
    </xf>
    <xf borderId="151" fillId="2" fontId="42" numFmtId="169" xfId="0" applyAlignment="1" applyBorder="1" applyFont="1" applyNumberFormat="1">
      <alignment horizontal="right" readingOrder="0"/>
    </xf>
    <xf borderId="24" fillId="8" fontId="39" numFmtId="0" xfId="0" applyAlignment="1" applyBorder="1" applyFont="1">
      <alignment horizontal="center" readingOrder="0" vertical="bottom"/>
    </xf>
    <xf borderId="151" fillId="7" fontId="42" numFmtId="169" xfId="0" applyBorder="1" applyFont="1" applyNumberFormat="1"/>
    <xf borderId="151" fillId="8" fontId="39" numFmtId="169" xfId="0" applyAlignment="1" applyBorder="1" applyFont="1" applyNumberFormat="1">
      <alignment readingOrder="0"/>
    </xf>
    <xf borderId="1" fillId="2" fontId="39" numFmtId="167" xfId="0" applyBorder="1" applyFont="1" applyNumberFormat="1"/>
    <xf borderId="24" fillId="8" fontId="39" numFmtId="0" xfId="0" applyAlignment="1" applyBorder="1" applyFont="1">
      <alignment readingOrder="0" vertical="bottom"/>
    </xf>
    <xf borderId="24" fillId="8" fontId="39" numFmtId="169" xfId="0" applyAlignment="1" applyBorder="1" applyFont="1" applyNumberFormat="1">
      <alignment horizontal="left" readingOrder="0"/>
    </xf>
    <xf borderId="24" fillId="8" fontId="39" numFmtId="0" xfId="0" applyAlignment="1" applyBorder="1" applyFont="1">
      <alignment horizontal="center" readingOrder="0"/>
    </xf>
    <xf borderId="24" fillId="8" fontId="39" numFmtId="169" xfId="0" applyAlignment="1" applyBorder="1" applyFont="1" applyNumberFormat="1">
      <alignment readingOrder="0"/>
    </xf>
    <xf borderId="100" fillId="2" fontId="39" numFmtId="0" xfId="0" applyAlignment="1" applyBorder="1" applyFont="1">
      <alignment horizontal="center"/>
    </xf>
    <xf borderId="103" fillId="0" fontId="3" numFmtId="0" xfId="0" applyBorder="1" applyFont="1"/>
    <xf borderId="24" fillId="20" fontId="43" numFmtId="0" xfId="0" applyAlignment="1" applyBorder="1" applyFont="1">
      <alignment horizontal="center"/>
    </xf>
    <xf borderId="151" fillId="20" fontId="44" numFmtId="169" xfId="0" applyBorder="1" applyFont="1" applyNumberFormat="1"/>
    <xf borderId="2" fillId="20" fontId="44" numFmtId="172" xfId="0" applyBorder="1" applyFont="1" applyNumberFormat="1"/>
    <xf borderId="24" fillId="20" fontId="44" numFmtId="169" xfId="0" applyBorder="1" applyFont="1" applyNumberFormat="1"/>
    <xf borderId="10" fillId="2" fontId="39" numFmtId="167" xfId="0" applyBorder="1" applyFont="1" applyNumberFormat="1"/>
    <xf borderId="1" fillId="2" fontId="44" numFmtId="0" xfId="0" applyBorder="1" applyFont="1"/>
    <xf borderId="1" fillId="2" fontId="44" numFmtId="165" xfId="0" applyBorder="1" applyFont="1" applyNumberFormat="1"/>
    <xf borderId="1" fillId="2" fontId="43" numFmtId="0" xfId="0" applyAlignment="1" applyBorder="1" applyFont="1">
      <alignment horizontal="center"/>
    </xf>
    <xf borderId="36" fillId="2" fontId="44" numFmtId="167" xfId="0" applyBorder="1" applyFont="1" applyNumberFormat="1"/>
    <xf borderId="36" fillId="2" fontId="44" numFmtId="0" xfId="0" applyBorder="1" applyFont="1"/>
    <xf borderId="1" fillId="2" fontId="43" numFmtId="0" xfId="0" applyBorder="1" applyFont="1"/>
    <xf borderId="1" fillId="2" fontId="44" numFmtId="167" xfId="0" applyBorder="1" applyFont="1" applyNumberFormat="1"/>
    <xf borderId="64" fillId="2" fontId="43" numFmtId="0" xfId="0" applyAlignment="1" applyBorder="1" applyFont="1">
      <alignment horizontal="center" shrinkToFit="0" wrapText="1"/>
    </xf>
    <xf borderId="1" fillId="2" fontId="44" numFmtId="9" xfId="0" applyBorder="1" applyFont="1" applyNumberFormat="1"/>
    <xf borderId="152" fillId="0" fontId="3" numFmtId="0" xfId="0" applyBorder="1" applyFont="1"/>
    <xf borderId="2" fillId="17" fontId="40" numFmtId="0" xfId="0" applyAlignment="1" applyBorder="1" applyFont="1">
      <alignment horizontal="center" readingOrder="0" vertical="center"/>
    </xf>
    <xf borderId="0" fillId="0" fontId="45" numFmtId="0" xfId="0" applyAlignment="1" applyFont="1">
      <alignment horizontal="center" readingOrder="0"/>
    </xf>
    <xf borderId="24" fillId="21" fontId="19" numFmtId="0" xfId="0" applyAlignment="1" applyBorder="1" applyFill="1" applyFont="1">
      <alignment horizontal="center"/>
    </xf>
    <xf borderId="24" fillId="21" fontId="19" numFmtId="165" xfId="0" applyAlignment="1" applyBorder="1" applyFont="1" applyNumberFormat="1">
      <alignment horizontal="center"/>
    </xf>
    <xf borderId="0" fillId="2" fontId="41" numFmtId="0" xfId="0" applyAlignment="1" applyFont="1">
      <alignment horizontal="center"/>
    </xf>
    <xf borderId="0" fillId="0" fontId="19" numFmtId="0" xfId="0" applyAlignment="1" applyFont="1">
      <alignment horizontal="center" vertical="bottom"/>
    </xf>
    <xf borderId="150" fillId="15" fontId="41" numFmtId="0" xfId="0" applyAlignment="1" applyBorder="1" applyFont="1">
      <alignment readingOrder="0" vertical="bottom"/>
    </xf>
    <xf borderId="151" fillId="2" fontId="42" numFmtId="169" xfId="0" applyAlignment="1" applyBorder="1" applyFont="1" applyNumberFormat="1">
      <alignment readingOrder="0"/>
    </xf>
    <xf borderId="24" fillId="8" fontId="39" numFmtId="0" xfId="0" applyAlignment="1" applyBorder="1" applyFont="1">
      <alignment horizontal="right" readingOrder="0" vertical="bottom"/>
    </xf>
    <xf borderId="19" fillId="2" fontId="39" numFmtId="167" xfId="0" applyBorder="1" applyFont="1" applyNumberFormat="1"/>
    <xf borderId="0" fillId="0" fontId="42" numFmtId="169" xfId="0" applyAlignment="1" applyFont="1" applyNumberFormat="1">
      <alignment horizontal="right" vertical="bottom"/>
    </xf>
    <xf borderId="24" fillId="15" fontId="41" numFmtId="0" xfId="0" applyAlignment="1" applyBorder="1" applyFont="1">
      <alignment readingOrder="0" vertical="bottom"/>
    </xf>
    <xf borderId="24" fillId="8" fontId="39" numFmtId="0" xfId="0" applyAlignment="1" applyBorder="1" applyFont="1">
      <alignment readingOrder="0"/>
    </xf>
    <xf borderId="24" fillId="13" fontId="39" numFmtId="0" xfId="0" applyAlignment="1" applyBorder="1" applyFont="1">
      <alignment readingOrder="0" vertical="bottom"/>
    </xf>
    <xf borderId="150" fillId="13" fontId="39" numFmtId="0" xfId="0" applyAlignment="1" applyBorder="1" applyFont="1">
      <alignment readingOrder="0" vertical="bottom"/>
    </xf>
    <xf borderId="0" fillId="0" fontId="44" numFmtId="169" xfId="0" applyAlignment="1" applyFont="1" applyNumberFormat="1">
      <alignment horizontal="right" vertical="bottom"/>
    </xf>
    <xf borderId="0" fillId="2" fontId="39" numFmtId="167" xfId="0" applyFont="1" applyNumberFormat="1"/>
    <xf borderId="24" fillId="20" fontId="43" numFmtId="0" xfId="0" applyBorder="1" applyFont="1"/>
    <xf borderId="36" fillId="2" fontId="39" numFmtId="167" xfId="0" applyBorder="1" applyFont="1" applyNumberFormat="1"/>
    <xf borderId="0" fillId="17" fontId="19" numFmtId="0" xfId="0" applyAlignment="1" applyFont="1">
      <alignment horizontal="center" readingOrder="0"/>
    </xf>
    <xf borderId="36" fillId="2" fontId="39" numFmtId="0" xfId="0" applyBorder="1" applyFont="1"/>
    <xf borderId="0" fillId="2" fontId="39" numFmtId="0" xfId="0" applyFont="1"/>
    <xf borderId="24" fillId="21" fontId="19" numFmtId="0" xfId="0" applyAlignment="1" applyBorder="1" applyFont="1">
      <alignment horizontal="center" readingOrder="0"/>
    </xf>
    <xf borderId="151" fillId="7" fontId="42" numFmtId="169" xfId="0" applyAlignment="1" applyBorder="1" applyFont="1" applyNumberFormat="1">
      <alignment readingOrder="0"/>
    </xf>
    <xf borderId="0" fillId="2" fontId="44" numFmtId="0" xfId="0" applyFont="1"/>
    <xf borderId="74" fillId="20" fontId="43" numFmtId="0" xfId="0" applyBorder="1" applyFont="1"/>
    <xf borderId="74" fillId="20" fontId="43" numFmtId="169" xfId="0" applyBorder="1" applyFont="1" applyNumberFormat="1"/>
    <xf borderId="0" fillId="0" fontId="42" numFmtId="0" xfId="0" applyAlignment="1" applyFont="1">
      <alignment readingOrder="0"/>
    </xf>
    <xf borderId="0" fillId="0" fontId="42" numFmtId="167" xfId="0" applyFont="1" applyNumberFormat="1"/>
    <xf borderId="0" fillId="0" fontId="46" numFmtId="0" xfId="0" applyAlignment="1" applyFont="1">
      <alignment readingOrder="0"/>
    </xf>
    <xf borderId="0" fillId="2" fontId="43" numFmtId="0" xfId="0" applyAlignment="1" applyFont="1">
      <alignment horizontal="center"/>
    </xf>
    <xf borderId="0" fillId="2" fontId="44" numFmtId="9" xfId="0" applyFont="1" applyNumberFormat="1"/>
    <xf borderId="2" fillId="17" fontId="40" numFmtId="0" xfId="0" applyAlignment="1" applyBorder="1" applyFont="1">
      <alignment horizontal="center" readingOrder="0"/>
    </xf>
    <xf borderId="24" fillId="21" fontId="19" numFmtId="0" xfId="0" applyAlignment="1" applyBorder="1" applyFont="1">
      <alignment horizontal="center" vertical="bottom"/>
    </xf>
    <xf borderId="24" fillId="21" fontId="19" numFmtId="165" xfId="0" applyAlignment="1" applyBorder="1" applyFont="1" applyNumberFormat="1">
      <alignment horizontal="center" readingOrder="0" vertical="bottom"/>
    </xf>
    <xf borderId="24" fillId="21" fontId="19" numFmtId="0" xfId="0" applyAlignment="1" applyBorder="1" applyFont="1">
      <alignment horizontal="center" readingOrder="0" vertical="bottom"/>
    </xf>
    <xf borderId="24" fillId="21" fontId="19" numFmtId="9" xfId="0" applyAlignment="1" applyBorder="1" applyFont="1" applyNumberFormat="1">
      <alignment horizontal="center" vertical="bottom"/>
    </xf>
    <xf borderId="150" fillId="8" fontId="42" numFmtId="0" xfId="0" applyAlignment="1" applyBorder="1" applyFont="1">
      <alignment readingOrder="0" vertical="bottom"/>
    </xf>
    <xf borderId="151" fillId="8" fontId="42" numFmtId="169" xfId="0" applyAlignment="1" applyBorder="1" applyFont="1" applyNumberFormat="1">
      <alignment horizontal="right" readingOrder="0" vertical="bottom"/>
    </xf>
    <xf borderId="21" fillId="8" fontId="42" numFmtId="0" xfId="0" applyAlignment="1" applyBorder="1" applyFont="1">
      <alignment horizontal="right" readingOrder="0" vertical="bottom"/>
    </xf>
    <xf borderId="24" fillId="8" fontId="42" numFmtId="0" xfId="0" applyAlignment="1" applyBorder="1" applyFont="1">
      <alignment horizontal="right" readingOrder="0" vertical="bottom"/>
    </xf>
    <xf borderId="151" fillId="7" fontId="42" numFmtId="169" xfId="0" applyAlignment="1" applyBorder="1" applyFont="1" applyNumberFormat="1">
      <alignment horizontal="right" readingOrder="0" vertical="bottom"/>
    </xf>
    <xf borderId="151" fillId="8" fontId="42" numFmtId="169" xfId="0" applyAlignment="1" applyBorder="1" applyFont="1" applyNumberFormat="1">
      <alignment horizontal="right" vertical="bottom"/>
    </xf>
    <xf borderId="151" fillId="7" fontId="42" numFmtId="169" xfId="0" applyAlignment="1" applyBorder="1" applyFont="1" applyNumberFormat="1">
      <alignment horizontal="right" vertical="bottom"/>
    </xf>
    <xf borderId="24" fillId="8" fontId="42" numFmtId="0" xfId="0" applyAlignment="1" applyBorder="1" applyFont="1">
      <alignment readingOrder="0" vertical="bottom"/>
    </xf>
    <xf borderId="100" fillId="8" fontId="37" numFmtId="0" xfId="0" applyAlignment="1" applyBorder="1" applyFont="1">
      <alignment vertical="bottom"/>
    </xf>
    <xf borderId="0" fillId="20" fontId="43" numFmtId="0" xfId="0" applyAlignment="1" applyFont="1">
      <alignment horizontal="right" vertical="bottom"/>
    </xf>
    <xf borderId="24" fillId="20" fontId="43" numFmtId="0" xfId="0" applyAlignment="1" applyBorder="1" applyFont="1">
      <alignment horizontal="right" vertical="bottom"/>
    </xf>
    <xf borderId="21" fillId="20" fontId="43" numFmtId="0" xfId="0" applyAlignment="1" applyBorder="1" applyFont="1">
      <alignment horizontal="right" vertical="bottom"/>
    </xf>
    <xf borderId="151" fillId="20" fontId="44" numFmtId="169" xfId="0" applyAlignment="1" applyBorder="1" applyFont="1" applyNumberFormat="1">
      <alignment horizontal="right" vertical="bottom"/>
    </xf>
    <xf borderId="2" fillId="20" fontId="37" numFmtId="172" xfId="0" applyAlignment="1" applyBorder="1" applyFont="1" applyNumberFormat="1">
      <alignment vertical="bottom"/>
    </xf>
    <xf borderId="24" fillId="20" fontId="44" numFmtId="169" xfId="0" applyAlignment="1" applyBorder="1" applyFont="1" applyNumberFormat="1">
      <alignment horizontal="right" vertical="bottom"/>
    </xf>
    <xf borderId="1" fillId="2" fontId="39" numFmtId="167" xfId="0" applyAlignment="1" applyBorder="1" applyFont="1" applyNumberFormat="1">
      <alignment readingOrder="0"/>
    </xf>
    <xf borderId="0" fillId="2" fontId="39" numFmtId="167" xfId="0" applyAlignment="1" applyFont="1" applyNumberFormat="1">
      <alignment readingOrder="0"/>
    </xf>
    <xf borderId="0" fillId="8" fontId="42" numFmtId="165" xfId="0" applyAlignment="1" applyFont="1" applyNumberFormat="1">
      <alignment horizontal="right" readingOrder="0" vertical="bottom"/>
    </xf>
    <xf borderId="0" fillId="0" fontId="47" numFmtId="0" xfId="0" applyAlignment="1" applyFont="1">
      <alignment horizontal="center" vertical="center"/>
    </xf>
    <xf borderId="0" fillId="3" fontId="48" numFmtId="0" xfId="0" applyAlignment="1" applyFont="1">
      <alignment horizontal="center" readingOrder="0" vertical="center"/>
    </xf>
    <xf borderId="153" fillId="0" fontId="47" numFmtId="0" xfId="0" applyAlignment="1" applyBorder="1" applyFont="1">
      <alignment horizontal="center" vertical="center"/>
    </xf>
    <xf borderId="154" fillId="0" fontId="49" numFmtId="0" xfId="0" applyAlignment="1" applyBorder="1" applyFont="1">
      <alignment horizontal="center" readingOrder="0" vertical="center"/>
    </xf>
    <xf borderId="155" fillId="0" fontId="3" numFmtId="0" xfId="0" applyBorder="1" applyFont="1"/>
    <xf borderId="156" fillId="0" fontId="3" numFmtId="0" xfId="0" applyBorder="1" applyFont="1"/>
    <xf borderId="153" fillId="22" fontId="50" numFmtId="166" xfId="0" applyAlignment="1" applyBorder="1" applyFill="1" applyFont="1" applyNumberFormat="1">
      <alignment horizontal="center" vertical="center"/>
    </xf>
    <xf borderId="153" fillId="22" fontId="50" numFmtId="0" xfId="0" applyAlignment="1" applyBorder="1" applyFont="1">
      <alignment horizontal="center" vertical="center"/>
    </xf>
    <xf borderId="157" fillId="0" fontId="3" numFmtId="0" xfId="0" applyBorder="1" applyFont="1"/>
    <xf borderId="158" fillId="0" fontId="3" numFmtId="0" xfId="0" applyBorder="1" applyFont="1"/>
    <xf borderId="159" fillId="0" fontId="3" numFmtId="0" xfId="0" applyBorder="1" applyFont="1"/>
    <xf borderId="153" fillId="23" fontId="50" numFmtId="166" xfId="0" applyAlignment="1" applyBorder="1" applyFill="1" applyFont="1" applyNumberFormat="1">
      <alignment horizontal="center" vertical="center"/>
    </xf>
    <xf borderId="153" fillId="23" fontId="50" numFmtId="0" xfId="0" applyAlignment="1" applyBorder="1" applyFont="1">
      <alignment horizontal="center" vertical="center"/>
    </xf>
    <xf borderId="160" fillId="0" fontId="47" numFmtId="0" xfId="0" applyAlignment="1" applyBorder="1" applyFont="1">
      <alignment horizontal="center" vertical="center"/>
    </xf>
    <xf borderId="161" fillId="0" fontId="47" numFmtId="0" xfId="0" applyAlignment="1" applyBorder="1" applyFont="1">
      <alignment horizontal="center" vertical="center"/>
    </xf>
    <xf borderId="24" fillId="3" fontId="19" numFmtId="0" xfId="0" applyAlignment="1" applyBorder="1" applyFont="1">
      <alignment horizontal="center" readingOrder="0" shrinkToFit="0" vertical="center" wrapText="1"/>
    </xf>
    <xf borderId="24" fillId="3" fontId="19" numFmtId="0" xfId="0" applyAlignment="1" applyBorder="1" applyFont="1">
      <alignment horizontal="center" vertical="center"/>
    </xf>
    <xf borderId="24" fillId="3" fontId="19" numFmtId="49" xfId="0" applyAlignment="1" applyBorder="1" applyFont="1" applyNumberFormat="1">
      <alignment horizontal="center" readingOrder="0" vertical="center"/>
    </xf>
    <xf borderId="162" fillId="0" fontId="47" numFmtId="0" xfId="0" applyAlignment="1" applyBorder="1" applyFont="1">
      <alignment horizontal="center" vertical="center"/>
    </xf>
    <xf borderId="24" fillId="0" fontId="47" numFmtId="0" xfId="0" applyAlignment="1" applyBorder="1" applyFont="1">
      <alignment horizontal="center" readingOrder="0" vertical="center"/>
    </xf>
    <xf borderId="24" fillId="0" fontId="47" numFmtId="0" xfId="0" applyAlignment="1" applyBorder="1" applyFont="1">
      <alignment horizontal="center" readingOrder="0" vertical="center"/>
    </xf>
    <xf borderId="24" fillId="0" fontId="51" numFmtId="0" xfId="0" applyAlignment="1" applyBorder="1" applyFont="1">
      <alignment horizontal="center" readingOrder="0" vertical="center"/>
    </xf>
    <xf borderId="24" fillId="0" fontId="52" numFmtId="0" xfId="0" applyAlignment="1" applyBorder="1" applyFont="1">
      <alignment horizontal="center" readingOrder="0" vertical="center"/>
    </xf>
    <xf borderId="24" fillId="24" fontId="53" numFmtId="173" xfId="0" applyAlignment="1" applyBorder="1" applyFill="1" applyFont="1" applyNumberFormat="1">
      <alignment horizontal="center" readingOrder="0" shrinkToFit="0" vertical="center" wrapText="1"/>
    </xf>
    <xf borderId="24" fillId="0" fontId="54" numFmtId="166" xfId="0" applyAlignment="1" applyBorder="1" applyFont="1" applyNumberFormat="1">
      <alignment horizontal="left" readingOrder="0" vertical="center"/>
    </xf>
    <xf borderId="24" fillId="0" fontId="47" numFmtId="0" xfId="0" applyAlignment="1" applyBorder="1" applyFont="1">
      <alignment horizontal="center" vertical="center"/>
    </xf>
    <xf borderId="24" fillId="0" fontId="47" numFmtId="0" xfId="0" applyAlignment="1" applyBorder="1" applyFont="1">
      <alignment horizontal="center" readingOrder="0" shrinkToFit="0" vertical="center" wrapText="1"/>
    </xf>
    <xf borderId="24" fillId="24" fontId="55" numFmtId="173" xfId="0" applyAlignment="1" applyBorder="1" applyFont="1" applyNumberFormat="1">
      <alignment horizontal="center" readingOrder="0" shrinkToFit="0" vertical="center" wrapText="1"/>
    </xf>
    <xf borderId="24" fillId="0" fontId="47" numFmtId="174" xfId="0" applyAlignment="1" applyBorder="1" applyFont="1" applyNumberFormat="1">
      <alignment horizontal="center" readingOrder="0" vertical="center"/>
    </xf>
    <xf borderId="24" fillId="0" fontId="54" numFmtId="166" xfId="0" applyAlignment="1" applyBorder="1" applyFont="1" applyNumberFormat="1">
      <alignment horizontal="left" vertical="center"/>
    </xf>
    <xf borderId="24" fillId="0" fontId="53" numFmtId="173" xfId="0" applyAlignment="1" applyBorder="1" applyFont="1" applyNumberFormat="1">
      <alignment horizontal="center" readingOrder="0" shrinkToFit="0" vertical="center" wrapText="1"/>
    </xf>
    <xf borderId="153" fillId="7" fontId="47" numFmtId="0" xfId="0" applyAlignment="1" applyBorder="1" applyFont="1">
      <alignment horizontal="center" vertical="center"/>
    </xf>
    <xf borderId="163" fillId="7" fontId="47" numFmtId="0" xfId="0" applyAlignment="1" applyBorder="1" applyFont="1">
      <alignment horizontal="center" vertical="center"/>
    </xf>
    <xf borderId="2" fillId="3" fontId="40" numFmtId="0" xfId="0" applyAlignment="1" applyBorder="1" applyFont="1">
      <alignment horizontal="center" readingOrder="0" vertical="center"/>
    </xf>
    <xf borderId="24" fillId="8" fontId="39" numFmtId="165" xfId="0" applyAlignment="1" applyBorder="1" applyFont="1" applyNumberFormat="1">
      <alignment readingOrder="0"/>
    </xf>
    <xf borderId="2" fillId="2" fontId="39" numFmtId="0" xfId="0" applyAlignment="1" applyBorder="1" applyFont="1">
      <alignment horizontal="center"/>
    </xf>
    <xf borderId="24" fillId="11" fontId="43" numFmtId="0" xfId="0" applyBorder="1" applyFont="1"/>
    <xf borderId="151" fillId="11" fontId="44" numFmtId="169" xfId="0" applyBorder="1" applyFont="1" applyNumberFormat="1"/>
    <xf borderId="2" fillId="11" fontId="44" numFmtId="172" xfId="0" applyBorder="1" applyFont="1" applyNumberFormat="1"/>
    <xf borderId="24" fillId="11" fontId="44" numFmtId="169" xfId="0" applyBorder="1" applyFont="1" applyNumberFormat="1"/>
    <xf borderId="0" fillId="0" fontId="12" numFmtId="0" xfId="0" applyAlignment="1" applyFont="1">
      <alignment horizontal="left" readingOrder="0" shrinkToFit="0" vertical="center" wrapText="1"/>
    </xf>
    <xf borderId="164" fillId="8" fontId="22" numFmtId="49" xfId="0" applyAlignment="1" applyBorder="1" applyFont="1" applyNumberFormat="1">
      <alignment shrinkToFit="0" vertical="center" wrapText="0"/>
    </xf>
    <xf borderId="153" fillId="8" fontId="56" numFmtId="49" xfId="0" applyAlignment="1" applyBorder="1" applyFont="1" applyNumberFormat="1">
      <alignment readingOrder="0" shrinkToFit="0" vertical="bottom" wrapText="0"/>
    </xf>
    <xf borderId="153" fillId="8" fontId="57" numFmtId="0" xfId="0" applyAlignment="1" applyBorder="1" applyFont="1">
      <alignment shrinkToFit="0" vertical="center" wrapText="0"/>
    </xf>
    <xf borderId="153" fillId="8" fontId="22" numFmtId="0" xfId="0" applyAlignment="1" applyBorder="1" applyFont="1">
      <alignment horizontal="right" readingOrder="0" shrinkToFit="0" vertical="center" wrapText="0"/>
    </xf>
    <xf borderId="153" fillId="8" fontId="37" numFmtId="0" xfId="0" applyAlignment="1" applyBorder="1" applyFont="1">
      <alignment shrinkToFit="0" vertical="center" wrapText="0"/>
    </xf>
    <xf borderId="153" fillId="8" fontId="37" numFmtId="0" xfId="0" applyAlignment="1" applyBorder="1" applyFont="1">
      <alignment readingOrder="0" shrinkToFit="0" vertical="center" wrapText="0"/>
    </xf>
    <xf borderId="153" fillId="8" fontId="22" numFmtId="0" xfId="0" applyAlignment="1" applyBorder="1" applyFont="1">
      <alignment horizontal="right" shrinkToFit="0" vertical="center" wrapText="0"/>
    </xf>
    <xf borderId="153" fillId="8" fontId="22" numFmtId="166" xfId="0" applyAlignment="1" applyBorder="1" applyFont="1" applyNumberFormat="1">
      <alignment horizontal="right" shrinkToFit="0" vertical="center" wrapText="0"/>
    </xf>
    <xf borderId="153" fillId="8" fontId="22" numFmtId="166" xfId="0" applyAlignment="1" applyBorder="1" applyFont="1" applyNumberFormat="1">
      <alignment horizontal="right" shrinkToFit="0" vertical="center" wrapText="0"/>
    </xf>
    <xf borderId="153" fillId="8" fontId="58" numFmtId="0" xfId="0" applyAlignment="1" applyBorder="1" applyFont="1">
      <alignment shrinkToFit="0" vertical="center" wrapText="0"/>
    </xf>
    <xf borderId="165" fillId="8" fontId="37" numFmtId="49" xfId="0" applyAlignment="1" applyBorder="1" applyFont="1" applyNumberFormat="1">
      <alignment shrinkToFit="0" vertical="center" wrapText="0"/>
    </xf>
    <xf borderId="166" fillId="25" fontId="22" numFmtId="49" xfId="0" applyAlignment="1" applyBorder="1" applyFill="1" applyFont="1" applyNumberFormat="1">
      <alignment shrinkToFit="0" vertical="center" wrapText="0"/>
    </xf>
    <xf borderId="167" fillId="25" fontId="56" numFmtId="49" xfId="0" applyAlignment="1" applyBorder="1" applyFont="1" applyNumberFormat="1">
      <alignment shrinkToFit="0" vertical="bottom" wrapText="0"/>
    </xf>
    <xf borderId="167" fillId="25" fontId="57" numFmtId="0" xfId="0" applyAlignment="1" applyBorder="1" applyFont="1">
      <alignment shrinkToFit="0" vertical="center" wrapText="0"/>
    </xf>
    <xf borderId="167" fillId="25" fontId="22" numFmtId="0" xfId="0" applyAlignment="1" applyBorder="1" applyFont="1">
      <alignment horizontal="right" shrinkToFit="0" vertical="center" wrapText="0"/>
    </xf>
    <xf borderId="167" fillId="25" fontId="37" numFmtId="0" xfId="0" applyAlignment="1" applyBorder="1" applyFont="1">
      <alignment shrinkToFit="0" vertical="center" wrapText="0"/>
    </xf>
    <xf borderId="167" fillId="25" fontId="22" numFmtId="166" xfId="0" applyAlignment="1" applyBorder="1" applyFont="1" applyNumberFormat="1">
      <alignment horizontal="right" readingOrder="0" shrinkToFit="0" vertical="center" wrapText="0"/>
    </xf>
    <xf borderId="167" fillId="25" fontId="22" numFmtId="0" xfId="0" applyAlignment="1" applyBorder="1" applyFont="1">
      <alignment horizontal="right" readingOrder="0" shrinkToFit="0" vertical="center" wrapText="0"/>
    </xf>
    <xf borderId="167" fillId="25" fontId="22" numFmtId="166" xfId="0" applyAlignment="1" applyBorder="1" applyFont="1" applyNumberFormat="1">
      <alignment horizontal="right" shrinkToFit="0" vertical="center" wrapText="0"/>
    </xf>
    <xf borderId="167" fillId="25" fontId="59" numFmtId="0" xfId="0" applyAlignment="1" applyBorder="1" applyFont="1">
      <alignment shrinkToFit="0" vertical="center" wrapText="0"/>
    </xf>
    <xf borderId="168" fillId="25" fontId="37" numFmtId="49" xfId="0" applyAlignment="1" applyBorder="1" applyFont="1" applyNumberFormat="1">
      <alignment shrinkToFit="0" vertical="center" wrapText="0"/>
    </xf>
    <xf borderId="153" fillId="8" fontId="56" numFmtId="49" xfId="0" applyAlignment="1" applyBorder="1" applyFont="1" applyNumberFormat="1">
      <alignment shrinkToFit="0" vertical="bottom" wrapText="0"/>
    </xf>
    <xf borderId="153" fillId="8" fontId="60" numFmtId="0" xfId="0" applyAlignment="1" applyBorder="1" applyFont="1">
      <alignment shrinkToFit="0" vertical="center" wrapText="0"/>
    </xf>
    <xf borderId="167" fillId="25" fontId="60" numFmtId="0" xfId="0" applyAlignment="1" applyBorder="1" applyFont="1">
      <alignment shrinkToFit="0" vertical="center" wrapText="0"/>
    </xf>
    <xf borderId="167" fillId="25" fontId="22" numFmtId="166" xfId="0" applyAlignment="1" applyBorder="1" applyFont="1" applyNumberFormat="1">
      <alignment horizontal="right" shrinkToFit="0" vertical="center" wrapText="0"/>
    </xf>
    <xf borderId="167" fillId="25" fontId="58" numFmtId="0" xfId="0" applyAlignment="1" applyBorder="1" applyFont="1">
      <alignment shrinkToFit="0" vertical="center" wrapText="0"/>
    </xf>
    <xf borderId="153" fillId="8" fontId="61" numFmtId="0" xfId="0" applyAlignment="1" applyBorder="1" applyFont="1">
      <alignment shrinkToFit="0" vertical="center" wrapText="0"/>
    </xf>
    <xf borderId="167" fillId="25" fontId="61" numFmtId="0" xfId="0" applyAlignment="1" applyBorder="1" applyFont="1">
      <alignment shrinkToFit="0" vertical="center" wrapText="0"/>
    </xf>
    <xf borderId="153" fillId="8" fontId="59" numFmtId="0" xfId="0" applyAlignment="1" applyBorder="1" applyFont="1">
      <alignment shrinkToFit="0" vertical="center" wrapText="0"/>
    </xf>
    <xf borderId="153" fillId="8" fontId="37" numFmtId="0" xfId="0" applyAlignment="1" applyBorder="1" applyFont="1">
      <alignment shrinkToFit="0" vertical="center" wrapText="0"/>
    </xf>
    <xf borderId="167" fillId="25" fontId="37" numFmtId="0" xfId="0" applyAlignment="1" applyBorder="1" applyFont="1">
      <alignment shrinkToFit="0" vertical="center" wrapText="0"/>
    </xf>
    <xf borderId="167" fillId="25" fontId="37" numFmtId="0" xfId="0" applyAlignment="1" applyBorder="1" applyFont="1">
      <alignment shrinkToFit="0" vertical="center" wrapText="0"/>
    </xf>
    <xf borderId="153" fillId="8" fontId="37" numFmtId="0" xfId="0" applyAlignment="1" applyBorder="1" applyFont="1">
      <alignment shrinkToFit="0" vertical="center" wrapText="0"/>
    </xf>
    <xf borderId="167" fillId="25" fontId="37" numFmtId="166" xfId="0" applyAlignment="1" applyBorder="1" applyFont="1" applyNumberFormat="1">
      <alignment shrinkToFit="0" vertical="center" wrapText="0"/>
    </xf>
    <xf borderId="153" fillId="8" fontId="37" numFmtId="166" xfId="0" applyAlignment="1" applyBorder="1" applyFont="1" applyNumberFormat="1">
      <alignment shrinkToFit="0" vertical="center" wrapText="0"/>
    </xf>
    <xf borderId="167" fillId="25" fontId="37" numFmtId="49" xfId="0" applyAlignment="1" applyBorder="1" applyFont="1" applyNumberFormat="1">
      <alignment shrinkToFit="0" vertical="bottom" wrapText="0"/>
    </xf>
    <xf borderId="153" fillId="8" fontId="37" numFmtId="49" xfId="0" applyAlignment="1" applyBorder="1" applyFont="1" applyNumberFormat="1">
      <alignment shrinkToFit="0" vertical="bottom" wrapText="0"/>
    </xf>
    <xf borderId="153" fillId="8" fontId="22" numFmtId="166" xfId="0" applyAlignment="1" applyBorder="1" applyFont="1" applyNumberFormat="1">
      <alignment shrinkToFit="0" vertical="center" wrapText="0"/>
    </xf>
    <xf borderId="153" fillId="8" fontId="22" numFmtId="0" xfId="0" applyAlignment="1" applyBorder="1" applyFont="1">
      <alignment shrinkToFit="0" vertical="center" wrapText="0"/>
    </xf>
    <xf borderId="153" fillId="8" fontId="22" numFmtId="166" xfId="0" applyAlignment="1" applyBorder="1" applyFont="1" applyNumberFormat="1">
      <alignment horizontal="center" shrinkToFit="0" vertical="center" wrapText="0"/>
    </xf>
    <xf borderId="169" fillId="8" fontId="22" numFmtId="49" xfId="0" applyAlignment="1" applyBorder="1" applyFont="1" applyNumberFormat="1">
      <alignment shrinkToFit="0" vertical="center" wrapText="0"/>
    </xf>
    <xf borderId="170" fillId="8" fontId="37" numFmtId="49" xfId="0" applyAlignment="1" applyBorder="1" applyFont="1" applyNumberFormat="1">
      <alignment shrinkToFit="0" vertical="bottom" wrapText="0"/>
    </xf>
    <xf borderId="170" fillId="8" fontId="37" numFmtId="0" xfId="0" applyAlignment="1" applyBorder="1" applyFont="1">
      <alignment shrinkToFit="0" vertical="center" wrapText="0"/>
    </xf>
    <xf borderId="170" fillId="8" fontId="37" numFmtId="0" xfId="0" applyAlignment="1" applyBorder="1" applyFont="1">
      <alignment shrinkToFit="0" vertical="center" wrapText="0"/>
    </xf>
    <xf borderId="170" fillId="8" fontId="22" numFmtId="0" xfId="0" applyAlignment="1" applyBorder="1" applyFont="1">
      <alignment horizontal="right" shrinkToFit="0" vertical="center" wrapText="0"/>
    </xf>
    <xf borderId="170" fillId="8" fontId="22" numFmtId="166" xfId="0" applyAlignment="1" applyBorder="1" applyFont="1" applyNumberFormat="1">
      <alignment horizontal="right" shrinkToFit="0" vertical="center" wrapText="0"/>
    </xf>
    <xf borderId="170" fillId="8" fontId="22" numFmtId="166" xfId="0" applyAlignment="1" applyBorder="1" applyFont="1" applyNumberFormat="1">
      <alignment horizontal="right" shrinkToFit="0" vertical="center" wrapText="0"/>
    </xf>
    <xf borderId="171" fillId="8" fontId="37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14"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ACCD1"/>
          <bgColor rgb="FFCACCD1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98708"/>
          <bgColor rgb="FFC9870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98708"/>
        </left>
        <right style="thin">
          <color rgb="FFC98708"/>
        </right>
        <top style="thin">
          <color rgb="FFC98708"/>
        </top>
        <bottom style="thin">
          <color rgb="FFC98708"/>
        </bottom>
      </border>
    </dxf>
  </dxfs>
  <tableStyles count="1">
    <tableStyle count="4" pivot="0" name="Sheet9-style">
      <tableStyleElement dxfId="10" type="headerRow"/>
      <tableStyleElement dxfId="11" type="firstRowStripe"/>
      <tableStyleElement dxfId="12" type="secondRowStripe"/>
      <tableStyleElement dxfId="1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8" displayName="Table1" name="Table1" id="1">
  <tableColumns count="15">
    <tableColumn name="Item ID" id="1"/>
    <tableColumn name="Item name" id="2"/>
    <tableColumn name="Type" id="3"/>
    <tableColumn name="Initial Stock" id="4"/>
    <tableColumn name="Stock In" id="5"/>
    <tableColumn name="Sold (Qris Payment)" id="6"/>
    <tableColumn name="Sold (Cash Payment)" id="7"/>
    <tableColumn name="Remaining Stock" id="8"/>
    <tableColumn name="Total Sold" id="9"/>
    <tableColumn name="Unit Price" id="10"/>
    <tableColumn name="Cost Price" id="11"/>
    <tableColumn name="Revenue" id="12"/>
    <tableColumn name="Profit" id="13"/>
    <tableColumn name="Status" id="14"/>
    <tableColumn name="Notes" id="15"/>
  </tableColumns>
  <tableStyleInfo name="Sheet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57"/>
    <col customWidth="1" min="2" max="2" width="49.71"/>
    <col customWidth="1" min="3" max="3" width="20.43"/>
    <col customWidth="1" min="4" max="4" width="8.43"/>
    <col customWidth="1" min="5" max="5" width="20.43"/>
    <col customWidth="1" min="6" max="6" width="3.71"/>
    <col customWidth="1" min="7" max="7" width="51.57"/>
    <col customWidth="1" min="8" max="8" width="20.29"/>
    <col customWidth="1" min="9" max="9" width="8.43"/>
    <col customWidth="1" min="10" max="10" width="20.43"/>
    <col customWidth="1" min="11" max="11" width="3.71"/>
    <col customWidth="1" min="12" max="12" width="51.43"/>
    <col customWidth="1" min="13" max="13" width="21.0"/>
    <col customWidth="1" min="14" max="14" width="8.43"/>
    <col customWidth="1" min="15" max="15" width="20.43"/>
    <col customWidth="1" min="16" max="16" width="3.71"/>
  </cols>
  <sheetData>
    <row r="1" ht="34.5" customHeight="1">
      <c r="A1" s="1"/>
      <c r="B1" s="2" t="str">
        <f>CONCATENATE('🏦COVER🏦'!D7," 💰Budget Plan💰")</f>
        <v>#REF!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</row>
    <row r="2" ht="28.5" customHeight="1">
      <c r="A2" s="4"/>
      <c r="B2" s="5" t="s">
        <v>0</v>
      </c>
      <c r="C2" s="6"/>
      <c r="D2" s="6"/>
      <c r="E2" s="7"/>
      <c r="F2" s="8"/>
      <c r="G2" s="9" t="s">
        <v>1</v>
      </c>
      <c r="H2" s="10"/>
      <c r="I2" s="10"/>
      <c r="J2" s="11"/>
      <c r="K2" s="8"/>
      <c r="L2" s="9" t="s">
        <v>2</v>
      </c>
      <c r="M2" s="10"/>
      <c r="N2" s="10"/>
      <c r="O2" s="11"/>
      <c r="P2" s="12"/>
    </row>
    <row r="3" ht="24.0" customHeight="1">
      <c r="A3" s="4"/>
      <c r="B3" s="13" t="s">
        <v>3</v>
      </c>
      <c r="C3" s="14"/>
      <c r="D3" s="14"/>
      <c r="E3" s="15"/>
      <c r="F3" s="16"/>
      <c r="G3" s="17" t="s">
        <v>3</v>
      </c>
      <c r="H3" s="18"/>
      <c r="I3" s="18"/>
      <c r="J3" s="19"/>
      <c r="K3" s="16"/>
      <c r="L3" s="17" t="s">
        <v>3</v>
      </c>
      <c r="M3" s="18"/>
      <c r="N3" s="18"/>
      <c r="O3" s="19"/>
      <c r="P3" s="16"/>
    </row>
    <row r="4" ht="24.0" customHeight="1">
      <c r="A4" s="4"/>
      <c r="B4" s="20" t="s">
        <v>4</v>
      </c>
      <c r="C4" s="21" t="s">
        <v>5</v>
      </c>
      <c r="D4" s="22" t="s">
        <v>6</v>
      </c>
      <c r="E4" s="23" t="s">
        <v>7</v>
      </c>
      <c r="F4" s="16"/>
      <c r="G4" s="22" t="s">
        <v>4</v>
      </c>
      <c r="H4" s="21" t="s">
        <v>5</v>
      </c>
      <c r="I4" s="22" t="s">
        <v>6</v>
      </c>
      <c r="J4" s="23" t="s">
        <v>7</v>
      </c>
      <c r="K4" s="16"/>
      <c r="L4" s="22" t="s">
        <v>4</v>
      </c>
      <c r="M4" s="21" t="s">
        <v>5</v>
      </c>
      <c r="N4" s="22" t="s">
        <v>6</v>
      </c>
      <c r="O4" s="23" t="s">
        <v>7</v>
      </c>
      <c r="P4" s="24"/>
    </row>
    <row r="5" ht="21.75" customHeight="1">
      <c r="A5" s="4"/>
      <c r="B5" s="25" t="s">
        <v>8</v>
      </c>
      <c r="C5" s="26">
        <v>1150000.0</v>
      </c>
      <c r="D5" s="27">
        <v>320.0</v>
      </c>
      <c r="E5" s="28">
        <f t="shared" ref="E5:E23" si="1">C5*D5</f>
        <v>368000000</v>
      </c>
      <c r="F5" s="16"/>
      <c r="G5" s="25" t="s">
        <v>8</v>
      </c>
      <c r="H5" s="26">
        <v>1150000.0</v>
      </c>
      <c r="I5" s="27">
        <v>320.0</v>
      </c>
      <c r="J5" s="28">
        <f t="shared" ref="J5:J23" si="2">H5*I5</f>
        <v>368000000</v>
      </c>
      <c r="K5" s="16"/>
      <c r="L5" s="29" t="s">
        <v>8</v>
      </c>
      <c r="M5" s="26">
        <v>1150000.0</v>
      </c>
      <c r="N5" s="27">
        <v>320.0</v>
      </c>
      <c r="O5" s="28">
        <f t="shared" ref="O5:O23" si="3">M5*N5</f>
        <v>368000000</v>
      </c>
      <c r="P5" s="30"/>
    </row>
    <row r="6" ht="17.25" customHeight="1">
      <c r="A6" s="4"/>
      <c r="B6" s="29" t="s">
        <v>9</v>
      </c>
      <c r="C6" s="31">
        <v>50000.0</v>
      </c>
      <c r="D6" s="32">
        <v>320.0</v>
      </c>
      <c r="E6" s="33">
        <f t="shared" si="1"/>
        <v>16000000</v>
      </c>
      <c r="F6" s="16"/>
      <c r="G6" s="29" t="s">
        <v>9</v>
      </c>
      <c r="H6" s="31">
        <v>50000.0</v>
      </c>
      <c r="I6" s="32">
        <v>320.0</v>
      </c>
      <c r="J6" s="33">
        <f t="shared" si="2"/>
        <v>16000000</v>
      </c>
      <c r="K6" s="24"/>
      <c r="L6" s="34" t="s">
        <v>9</v>
      </c>
      <c r="M6" s="31">
        <v>50000.0</v>
      </c>
      <c r="N6" s="32">
        <v>320.0</v>
      </c>
      <c r="O6" s="33">
        <f t="shared" si="3"/>
        <v>16000000</v>
      </c>
      <c r="P6" s="30"/>
    </row>
    <row r="7" ht="18.0" customHeight="1">
      <c r="A7" s="4"/>
      <c r="B7" s="34" t="s">
        <v>10</v>
      </c>
      <c r="C7" s="31">
        <v>4.0E7</v>
      </c>
      <c r="D7" s="32">
        <v>1.0</v>
      </c>
      <c r="E7" s="35">
        <f t="shared" si="1"/>
        <v>40000000</v>
      </c>
      <c r="F7" s="16"/>
      <c r="G7" s="34" t="s">
        <v>10</v>
      </c>
      <c r="H7" s="31">
        <v>4.0E7</v>
      </c>
      <c r="I7" s="32">
        <v>1.0</v>
      </c>
      <c r="J7" s="35">
        <f t="shared" si="2"/>
        <v>40000000</v>
      </c>
      <c r="K7" s="30"/>
      <c r="L7" s="34" t="s">
        <v>10</v>
      </c>
      <c r="M7" s="31">
        <v>4.0E7</v>
      </c>
      <c r="N7" s="32">
        <v>1.0</v>
      </c>
      <c r="O7" s="33">
        <f t="shared" si="3"/>
        <v>40000000</v>
      </c>
      <c r="P7" s="30"/>
    </row>
    <row r="8" ht="17.25" customHeight="1">
      <c r="A8" s="36"/>
      <c r="B8" s="29" t="s">
        <v>11</v>
      </c>
      <c r="C8" s="31">
        <v>5000000.0</v>
      </c>
      <c r="D8" s="32">
        <v>1.0</v>
      </c>
      <c r="E8" s="37">
        <f t="shared" si="1"/>
        <v>5000000</v>
      </c>
      <c r="F8" s="24"/>
      <c r="G8" s="29" t="s">
        <v>11</v>
      </c>
      <c r="H8" s="31">
        <v>5000000.0</v>
      </c>
      <c r="I8" s="32">
        <v>1.0</v>
      </c>
      <c r="J8" s="37">
        <f t="shared" si="2"/>
        <v>5000000</v>
      </c>
      <c r="K8" s="30"/>
      <c r="L8" s="34" t="s">
        <v>11</v>
      </c>
      <c r="M8" s="31">
        <v>5000000.0</v>
      </c>
      <c r="N8" s="32">
        <v>1.0</v>
      </c>
      <c r="O8" s="33">
        <f t="shared" si="3"/>
        <v>5000000</v>
      </c>
      <c r="P8" s="30"/>
    </row>
    <row r="9" ht="15.75" customHeight="1">
      <c r="A9" s="30"/>
      <c r="B9" s="38" t="s">
        <v>12</v>
      </c>
      <c r="C9" s="31">
        <v>65000.0</v>
      </c>
      <c r="D9" s="32">
        <v>5.0</v>
      </c>
      <c r="E9" s="37">
        <f t="shared" si="1"/>
        <v>325000</v>
      </c>
      <c r="F9" s="30"/>
      <c r="G9" s="38" t="s">
        <v>12</v>
      </c>
      <c r="H9" s="31">
        <v>65000.0</v>
      </c>
      <c r="I9" s="32">
        <v>10.0</v>
      </c>
      <c r="J9" s="37">
        <f t="shared" si="2"/>
        <v>650000</v>
      </c>
      <c r="K9" s="30"/>
      <c r="L9" s="39" t="s">
        <v>12</v>
      </c>
      <c r="M9" s="31">
        <v>65000.0</v>
      </c>
      <c r="N9" s="32">
        <v>15.0</v>
      </c>
      <c r="O9" s="33">
        <f t="shared" si="3"/>
        <v>975000</v>
      </c>
      <c r="P9" s="30"/>
    </row>
    <row r="10" ht="16.5" customHeight="1">
      <c r="A10" s="30"/>
      <c r="B10" s="39" t="s">
        <v>13</v>
      </c>
      <c r="C10" s="31">
        <v>165000.0</v>
      </c>
      <c r="D10" s="32">
        <v>5.0</v>
      </c>
      <c r="E10" s="37">
        <f t="shared" si="1"/>
        <v>825000</v>
      </c>
      <c r="F10" s="30"/>
      <c r="G10" s="39" t="s">
        <v>13</v>
      </c>
      <c r="H10" s="31">
        <v>165000.0</v>
      </c>
      <c r="I10" s="32">
        <v>10.0</v>
      </c>
      <c r="J10" s="37">
        <f t="shared" si="2"/>
        <v>1650000</v>
      </c>
      <c r="K10" s="30"/>
      <c r="L10" s="39" t="s">
        <v>13</v>
      </c>
      <c r="M10" s="31">
        <v>165000.0</v>
      </c>
      <c r="N10" s="32">
        <v>15.0</v>
      </c>
      <c r="O10" s="33">
        <f t="shared" si="3"/>
        <v>2475000</v>
      </c>
      <c r="P10" s="30"/>
    </row>
    <row r="11" ht="16.5" customHeight="1">
      <c r="A11" s="30"/>
      <c r="B11" s="39" t="s">
        <v>14</v>
      </c>
      <c r="C11" s="31">
        <v>120000.0</v>
      </c>
      <c r="D11" s="32">
        <v>5.0</v>
      </c>
      <c r="E11" s="37">
        <f t="shared" si="1"/>
        <v>600000</v>
      </c>
      <c r="F11" s="30"/>
      <c r="G11" s="39" t="s">
        <v>14</v>
      </c>
      <c r="H11" s="31">
        <v>120000.0</v>
      </c>
      <c r="I11" s="32">
        <v>10.0</v>
      </c>
      <c r="J11" s="37">
        <f t="shared" si="2"/>
        <v>1200000</v>
      </c>
      <c r="K11" s="30"/>
      <c r="L11" s="39" t="s">
        <v>14</v>
      </c>
      <c r="M11" s="31">
        <v>120000.0</v>
      </c>
      <c r="N11" s="32">
        <v>15.0</v>
      </c>
      <c r="O11" s="33">
        <f t="shared" si="3"/>
        <v>1800000</v>
      </c>
      <c r="P11" s="30"/>
    </row>
    <row r="12" ht="16.5" customHeight="1">
      <c r="A12" s="30"/>
      <c r="B12" s="39" t="s">
        <v>15</v>
      </c>
      <c r="C12" s="31">
        <v>12000.0</v>
      </c>
      <c r="D12" s="32">
        <v>20.0</v>
      </c>
      <c r="E12" s="37">
        <f t="shared" si="1"/>
        <v>240000</v>
      </c>
      <c r="F12" s="30"/>
      <c r="G12" s="39" t="s">
        <v>15</v>
      </c>
      <c r="H12" s="31">
        <v>12000.0</v>
      </c>
      <c r="I12" s="32">
        <v>25.0</v>
      </c>
      <c r="J12" s="37">
        <f t="shared" si="2"/>
        <v>300000</v>
      </c>
      <c r="K12" s="30"/>
      <c r="L12" s="39" t="s">
        <v>15</v>
      </c>
      <c r="M12" s="31">
        <v>12000.0</v>
      </c>
      <c r="N12" s="32">
        <v>35.0</v>
      </c>
      <c r="O12" s="33">
        <f t="shared" si="3"/>
        <v>420000</v>
      </c>
      <c r="P12" s="30"/>
    </row>
    <row r="13" ht="18.0" customHeight="1">
      <c r="A13" s="30"/>
      <c r="B13" s="39" t="s">
        <v>16</v>
      </c>
      <c r="C13" s="31">
        <v>20000.0</v>
      </c>
      <c r="D13" s="32">
        <v>15.0</v>
      </c>
      <c r="E13" s="37">
        <f t="shared" si="1"/>
        <v>300000</v>
      </c>
      <c r="F13" s="30"/>
      <c r="G13" s="39" t="s">
        <v>16</v>
      </c>
      <c r="H13" s="31">
        <v>20000.0</v>
      </c>
      <c r="I13" s="32">
        <v>25.0</v>
      </c>
      <c r="J13" s="37">
        <f t="shared" si="2"/>
        <v>500000</v>
      </c>
      <c r="K13" s="30"/>
      <c r="L13" s="39" t="s">
        <v>16</v>
      </c>
      <c r="M13" s="31">
        <v>20000.0</v>
      </c>
      <c r="N13" s="32">
        <v>35.0</v>
      </c>
      <c r="O13" s="33">
        <f t="shared" si="3"/>
        <v>700000</v>
      </c>
      <c r="P13" s="30"/>
    </row>
    <row r="14" ht="18.0" customHeight="1">
      <c r="A14" s="30"/>
      <c r="B14" s="39" t="s">
        <v>17</v>
      </c>
      <c r="C14" s="31">
        <v>15000.0</v>
      </c>
      <c r="D14" s="32">
        <v>5.0</v>
      </c>
      <c r="E14" s="37">
        <f t="shared" si="1"/>
        <v>75000</v>
      </c>
      <c r="F14" s="30"/>
      <c r="G14" s="39" t="s">
        <v>17</v>
      </c>
      <c r="H14" s="31">
        <v>15000.0</v>
      </c>
      <c r="I14" s="32">
        <v>10.0</v>
      </c>
      <c r="J14" s="37">
        <f t="shared" si="2"/>
        <v>150000</v>
      </c>
      <c r="K14" s="30"/>
      <c r="L14" s="39" t="s">
        <v>17</v>
      </c>
      <c r="M14" s="31">
        <v>15000.0</v>
      </c>
      <c r="N14" s="32">
        <v>15.0</v>
      </c>
      <c r="O14" s="37">
        <f t="shared" si="3"/>
        <v>225000</v>
      </c>
      <c r="P14" s="30"/>
    </row>
    <row r="15" ht="17.25" customHeight="1">
      <c r="A15" s="30"/>
      <c r="B15" s="39" t="s">
        <v>18</v>
      </c>
      <c r="C15" s="31">
        <v>15000.0</v>
      </c>
      <c r="D15" s="32">
        <v>15.0</v>
      </c>
      <c r="E15" s="37">
        <f t="shared" si="1"/>
        <v>225000</v>
      </c>
      <c r="F15" s="30"/>
      <c r="G15" s="39" t="s">
        <v>18</v>
      </c>
      <c r="H15" s="31">
        <v>15000.0</v>
      </c>
      <c r="I15" s="32">
        <v>25.0</v>
      </c>
      <c r="J15" s="37">
        <f t="shared" si="2"/>
        <v>375000</v>
      </c>
      <c r="K15" s="30"/>
      <c r="L15" s="39" t="s">
        <v>18</v>
      </c>
      <c r="M15" s="31">
        <v>15000.0</v>
      </c>
      <c r="N15" s="32">
        <v>35.0</v>
      </c>
      <c r="O15" s="33">
        <f t="shared" si="3"/>
        <v>525000</v>
      </c>
      <c r="P15" s="30"/>
    </row>
    <row r="16" ht="17.25" customHeight="1">
      <c r="A16" s="30"/>
      <c r="B16" s="40" t="s">
        <v>19</v>
      </c>
      <c r="C16" s="41">
        <v>250000.0</v>
      </c>
      <c r="D16" s="32">
        <v>10.0</v>
      </c>
      <c r="E16" s="37">
        <f t="shared" si="1"/>
        <v>2500000</v>
      </c>
      <c r="F16" s="30"/>
      <c r="G16" s="40" t="s">
        <v>19</v>
      </c>
      <c r="H16" s="41">
        <v>250000.0</v>
      </c>
      <c r="I16" s="32">
        <v>15.0</v>
      </c>
      <c r="J16" s="37">
        <f t="shared" si="2"/>
        <v>3750000</v>
      </c>
      <c r="K16" s="30"/>
      <c r="L16" s="40" t="s">
        <v>19</v>
      </c>
      <c r="M16" s="41">
        <v>250000.0</v>
      </c>
      <c r="N16" s="32">
        <v>20.0</v>
      </c>
      <c r="O16" s="33">
        <f t="shared" si="3"/>
        <v>5000000</v>
      </c>
      <c r="P16" s="30"/>
    </row>
    <row r="17" ht="18.0" customHeight="1">
      <c r="A17" s="30"/>
      <c r="B17" s="40" t="s">
        <v>20</v>
      </c>
      <c r="C17" s="41">
        <v>35000.0</v>
      </c>
      <c r="D17" s="32">
        <v>45.0</v>
      </c>
      <c r="E17" s="37">
        <f t="shared" si="1"/>
        <v>1575000</v>
      </c>
      <c r="F17" s="30"/>
      <c r="G17" s="40" t="s">
        <v>20</v>
      </c>
      <c r="H17" s="41">
        <v>35000.0</v>
      </c>
      <c r="I17" s="32">
        <v>50.0</v>
      </c>
      <c r="J17" s="37">
        <f t="shared" si="2"/>
        <v>1750000</v>
      </c>
      <c r="K17" s="30"/>
      <c r="L17" s="40" t="s">
        <v>20</v>
      </c>
      <c r="M17" s="41">
        <v>35000.0</v>
      </c>
      <c r="N17" s="32">
        <v>55.0</v>
      </c>
      <c r="O17" s="33">
        <f t="shared" si="3"/>
        <v>1925000</v>
      </c>
      <c r="P17" s="30"/>
    </row>
    <row r="18" ht="17.25" customHeight="1">
      <c r="A18" s="30"/>
      <c r="B18" s="40" t="s">
        <v>21</v>
      </c>
      <c r="C18" s="41">
        <v>20000.0</v>
      </c>
      <c r="D18" s="32">
        <v>40.0</v>
      </c>
      <c r="E18" s="37">
        <f t="shared" si="1"/>
        <v>800000</v>
      </c>
      <c r="F18" s="30"/>
      <c r="G18" s="40" t="s">
        <v>21</v>
      </c>
      <c r="H18" s="41">
        <v>20000.0</v>
      </c>
      <c r="I18" s="32">
        <v>45.0</v>
      </c>
      <c r="J18" s="37">
        <f t="shared" si="2"/>
        <v>900000</v>
      </c>
      <c r="K18" s="30"/>
      <c r="L18" s="40" t="s">
        <v>21</v>
      </c>
      <c r="M18" s="41">
        <v>20000.0</v>
      </c>
      <c r="N18" s="32">
        <v>50.0</v>
      </c>
      <c r="O18" s="33">
        <f t="shared" si="3"/>
        <v>1000000</v>
      </c>
      <c r="P18" s="30"/>
    </row>
    <row r="19" ht="15.0" customHeight="1">
      <c r="A19" s="30"/>
      <c r="B19" s="40" t="s">
        <v>22</v>
      </c>
      <c r="C19" s="41">
        <v>25000.0</v>
      </c>
      <c r="D19" s="32">
        <v>40.0</v>
      </c>
      <c r="E19" s="37">
        <f t="shared" si="1"/>
        <v>1000000</v>
      </c>
      <c r="F19" s="30"/>
      <c r="G19" s="40" t="s">
        <v>22</v>
      </c>
      <c r="H19" s="41">
        <v>25000.0</v>
      </c>
      <c r="I19" s="32">
        <v>45.0</v>
      </c>
      <c r="J19" s="37">
        <f t="shared" si="2"/>
        <v>1125000</v>
      </c>
      <c r="K19" s="30"/>
      <c r="L19" s="40" t="s">
        <v>22</v>
      </c>
      <c r="M19" s="41">
        <v>25000.0</v>
      </c>
      <c r="N19" s="32">
        <v>50.0</v>
      </c>
      <c r="O19" s="33">
        <f t="shared" si="3"/>
        <v>1250000</v>
      </c>
      <c r="P19" s="30"/>
    </row>
    <row r="20" ht="18.0" customHeight="1">
      <c r="A20" s="30"/>
      <c r="B20" s="39" t="s">
        <v>23</v>
      </c>
      <c r="C20" s="31">
        <v>400000.0</v>
      </c>
      <c r="D20" s="32">
        <v>1.0</v>
      </c>
      <c r="E20" s="37">
        <f t="shared" si="1"/>
        <v>400000</v>
      </c>
      <c r="F20" s="30"/>
      <c r="G20" s="39" t="s">
        <v>23</v>
      </c>
      <c r="H20" s="31">
        <v>400000.0</v>
      </c>
      <c r="I20" s="32">
        <v>1.0</v>
      </c>
      <c r="J20" s="37">
        <f t="shared" si="2"/>
        <v>400000</v>
      </c>
      <c r="K20" s="30"/>
      <c r="L20" s="39" t="s">
        <v>23</v>
      </c>
      <c r="M20" s="31">
        <v>400000.0</v>
      </c>
      <c r="N20" s="32">
        <v>1.0</v>
      </c>
      <c r="O20" s="33">
        <f t="shared" si="3"/>
        <v>400000</v>
      </c>
      <c r="P20" s="30"/>
    </row>
    <row r="21" ht="16.5" customHeight="1">
      <c r="A21" s="30"/>
      <c r="B21" s="39" t="s">
        <v>24</v>
      </c>
      <c r="C21" s="31">
        <v>10000.0</v>
      </c>
      <c r="D21" s="32">
        <v>15.0</v>
      </c>
      <c r="E21" s="37">
        <f t="shared" si="1"/>
        <v>150000</v>
      </c>
      <c r="F21" s="30"/>
      <c r="G21" s="39" t="s">
        <v>24</v>
      </c>
      <c r="H21" s="31">
        <v>10000.0</v>
      </c>
      <c r="I21" s="32">
        <v>20.0</v>
      </c>
      <c r="J21" s="37">
        <f t="shared" si="2"/>
        <v>200000</v>
      </c>
      <c r="K21" s="30"/>
      <c r="L21" s="39" t="s">
        <v>24</v>
      </c>
      <c r="M21" s="31">
        <v>10000.0</v>
      </c>
      <c r="N21" s="32">
        <v>25.0</v>
      </c>
      <c r="O21" s="33">
        <f t="shared" si="3"/>
        <v>250000</v>
      </c>
      <c r="P21" s="30"/>
    </row>
    <row r="22" ht="15.75" customHeight="1">
      <c r="A22" s="30"/>
      <c r="B22" s="39" t="s">
        <v>25</v>
      </c>
      <c r="C22" s="31">
        <v>2213000.0</v>
      </c>
      <c r="D22" s="32">
        <v>1.0</v>
      </c>
      <c r="E22" s="37">
        <f t="shared" si="1"/>
        <v>2213000</v>
      </c>
      <c r="F22" s="30"/>
      <c r="G22" s="39" t="s">
        <v>25</v>
      </c>
      <c r="H22" s="31">
        <v>3021500.0</v>
      </c>
      <c r="I22" s="32">
        <v>1.0</v>
      </c>
      <c r="J22" s="37">
        <f t="shared" si="2"/>
        <v>3021500</v>
      </c>
      <c r="K22" s="30"/>
      <c r="L22" s="39" t="s">
        <v>25</v>
      </c>
      <c r="M22" s="31">
        <v>3796000.0</v>
      </c>
      <c r="N22" s="32">
        <v>1.0</v>
      </c>
      <c r="O22" s="33">
        <f t="shared" si="3"/>
        <v>3796000</v>
      </c>
      <c r="P22" s="30"/>
    </row>
    <row r="23" ht="16.5" customHeight="1">
      <c r="A23" s="30"/>
      <c r="B23" s="39" t="s">
        <v>26</v>
      </c>
      <c r="C23" s="31">
        <v>200000.0</v>
      </c>
      <c r="D23" s="32">
        <v>27.0</v>
      </c>
      <c r="E23" s="37">
        <f t="shared" si="1"/>
        <v>5400000</v>
      </c>
      <c r="F23" s="30"/>
      <c r="G23" s="39" t="s">
        <v>26</v>
      </c>
      <c r="H23" s="31">
        <v>200000.0</v>
      </c>
      <c r="I23" s="32">
        <v>27.0</v>
      </c>
      <c r="J23" s="37">
        <f t="shared" si="2"/>
        <v>5400000</v>
      </c>
      <c r="K23" s="30"/>
      <c r="L23" s="39" t="s">
        <v>26</v>
      </c>
      <c r="M23" s="31">
        <v>200000.0</v>
      </c>
      <c r="N23" s="32">
        <v>27.0</v>
      </c>
      <c r="O23" s="33">
        <f t="shared" si="3"/>
        <v>5400000</v>
      </c>
      <c r="P23" s="30"/>
    </row>
    <row r="24" ht="24.0" customHeight="1">
      <c r="A24" s="42"/>
      <c r="B24" s="43" t="s">
        <v>27</v>
      </c>
      <c r="C24" s="44"/>
      <c r="D24" s="45"/>
      <c r="E24" s="46">
        <f>SUM(E5:E9)</f>
        <v>429325000</v>
      </c>
      <c r="F24" s="30"/>
      <c r="G24" s="43" t="s">
        <v>27</v>
      </c>
      <c r="H24" s="44"/>
      <c r="I24" s="47"/>
      <c r="J24" s="48">
        <f>SUM(J5:J9)</f>
        <v>429650000</v>
      </c>
      <c r="K24" s="30"/>
      <c r="L24" s="43" t="s">
        <v>27</v>
      </c>
      <c r="M24" s="44"/>
      <c r="N24" s="47"/>
      <c r="O24" s="48">
        <f>SUM(O5:O9)</f>
        <v>429975000</v>
      </c>
      <c r="P24" s="30"/>
    </row>
    <row r="25" ht="12.75" customHeight="1">
      <c r="A25" s="49"/>
      <c r="B25" s="50"/>
      <c r="C25" s="50"/>
      <c r="D25" s="50"/>
      <c r="E25" s="50"/>
      <c r="F25" s="51"/>
      <c r="G25" s="50"/>
      <c r="H25" s="50"/>
      <c r="I25" s="50"/>
      <c r="J25" s="50"/>
      <c r="K25" s="52"/>
      <c r="L25" s="50"/>
      <c r="M25" s="50"/>
      <c r="N25" s="50"/>
      <c r="O25" s="50"/>
      <c r="P25" s="53"/>
    </row>
    <row r="26" ht="27.75" customHeight="1">
      <c r="A26" s="54"/>
      <c r="B26" s="55" t="s">
        <v>28</v>
      </c>
      <c r="C26" s="56"/>
      <c r="D26" s="57"/>
      <c r="E26" s="58" t="s">
        <v>7</v>
      </c>
      <c r="F26" s="59"/>
      <c r="G26" s="55" t="s">
        <v>28</v>
      </c>
      <c r="H26" s="56"/>
      <c r="I26" s="57"/>
      <c r="J26" s="58" t="s">
        <v>7</v>
      </c>
      <c r="K26" s="60"/>
      <c r="L26" s="55" t="s">
        <v>28</v>
      </c>
      <c r="M26" s="56"/>
      <c r="N26" s="57"/>
      <c r="O26" s="58" t="s">
        <v>7</v>
      </c>
      <c r="P26" s="61"/>
    </row>
    <row r="27" ht="15.75" customHeight="1">
      <c r="A27" s="1"/>
      <c r="B27" s="62" t="str">
        <f>$B$37</f>
        <v>#REF!</v>
      </c>
      <c r="C27" s="63"/>
      <c r="D27" s="64"/>
      <c r="E27" s="65">
        <f>E74</f>
        <v>31044608</v>
      </c>
      <c r="F27" s="66"/>
      <c r="G27" s="62" t="str">
        <f t="shared" ref="G27:G32" si="4">B27</f>
        <v>#REF!</v>
      </c>
      <c r="H27" s="63"/>
      <c r="I27" s="64"/>
      <c r="J27" s="67">
        <f>J74</f>
        <v>32001933</v>
      </c>
      <c r="K27" s="4"/>
      <c r="L27" s="62" t="str">
        <f t="shared" ref="L27:L32" si="5">G27</f>
        <v>#REF!</v>
      </c>
      <c r="M27" s="63"/>
      <c r="N27" s="64"/>
      <c r="O27" s="67">
        <f>O74</f>
        <v>34536876</v>
      </c>
      <c r="P27" s="1"/>
    </row>
    <row r="28" ht="15.75" customHeight="1">
      <c r="A28" s="1"/>
      <c r="B28" s="68" t="str">
        <f>B76</f>
        <v>#REF!</v>
      </c>
      <c r="C28" s="69"/>
      <c r="D28" s="70"/>
      <c r="E28" s="71">
        <f>E105</f>
        <v>2060700</v>
      </c>
      <c r="F28" s="72"/>
      <c r="G28" s="62" t="str">
        <f t="shared" si="4"/>
        <v>#REF!</v>
      </c>
      <c r="H28" s="63"/>
      <c r="I28" s="64"/>
      <c r="J28" s="73">
        <f>J105</f>
        <v>1340798</v>
      </c>
      <c r="K28" s="4"/>
      <c r="L28" s="62" t="str">
        <f t="shared" si="5"/>
        <v>#REF!</v>
      </c>
      <c r="M28" s="63"/>
      <c r="N28" s="64"/>
      <c r="O28" s="73">
        <f>O105</f>
        <v>940036</v>
      </c>
      <c r="P28" s="1"/>
    </row>
    <row r="29" ht="15.75" customHeight="1">
      <c r="A29" s="1"/>
      <c r="B29" s="68" t="str">
        <f>B107</f>
        <v>#REF!</v>
      </c>
      <c r="C29" s="69"/>
      <c r="D29" s="70"/>
      <c r="E29" s="74">
        <f>E127</f>
        <v>4652213</v>
      </c>
      <c r="F29" s="72"/>
      <c r="G29" s="62" t="str">
        <f t="shared" si="4"/>
        <v>#REF!</v>
      </c>
      <c r="H29" s="63"/>
      <c r="I29" s="64"/>
      <c r="J29" s="75">
        <f>J127</f>
        <v>1673697</v>
      </c>
      <c r="K29" s="4"/>
      <c r="L29" s="62" t="str">
        <f t="shared" si="5"/>
        <v>#REF!</v>
      </c>
      <c r="M29" s="63"/>
      <c r="N29" s="64"/>
      <c r="O29" s="75">
        <f>O127</f>
        <v>2631707</v>
      </c>
      <c r="P29" s="1"/>
    </row>
    <row r="30" ht="15.75" customHeight="1">
      <c r="A30" s="1"/>
      <c r="B30" s="68" t="str">
        <f>B129</f>
        <v>#REF!</v>
      </c>
      <c r="C30" s="69"/>
      <c r="D30" s="70"/>
      <c r="E30" s="76">
        <f>E142</f>
        <v>1673000</v>
      </c>
      <c r="F30" s="72"/>
      <c r="G30" s="62" t="str">
        <f t="shared" si="4"/>
        <v>#REF!</v>
      </c>
      <c r="H30" s="63"/>
      <c r="I30" s="64"/>
      <c r="J30" s="77">
        <f>J142</f>
        <v>536000</v>
      </c>
      <c r="K30" s="4"/>
      <c r="L30" s="62" t="str">
        <f t="shared" si="5"/>
        <v>#REF!</v>
      </c>
      <c r="M30" s="63"/>
      <c r="N30" s="64"/>
      <c r="O30" s="77">
        <f>O142</f>
        <v>1111000</v>
      </c>
      <c r="P30" s="1"/>
    </row>
    <row r="31" ht="15.75" customHeight="1">
      <c r="A31" s="1"/>
      <c r="B31" s="68" t="str">
        <f>B144</f>
        <v>#REF!</v>
      </c>
      <c r="C31" s="69"/>
      <c r="D31" s="70"/>
      <c r="E31" s="78">
        <f>E155</f>
        <v>2120000</v>
      </c>
      <c r="F31" s="72"/>
      <c r="G31" s="62" t="str">
        <f t="shared" si="4"/>
        <v>#REF!</v>
      </c>
      <c r="H31" s="63"/>
      <c r="I31" s="64"/>
      <c r="J31" s="79">
        <f>J155</f>
        <v>1652320</v>
      </c>
      <c r="K31" s="4"/>
      <c r="L31" s="62" t="str">
        <f t="shared" si="5"/>
        <v>#REF!</v>
      </c>
      <c r="M31" s="63"/>
      <c r="N31" s="64"/>
      <c r="O31" s="79">
        <f>O155</f>
        <v>1464000</v>
      </c>
      <c r="P31" s="1"/>
    </row>
    <row r="32" ht="15.75" customHeight="1">
      <c r="A32" s="1"/>
      <c r="B32" s="80" t="str">
        <f>B157</f>
        <v>#REF!</v>
      </c>
      <c r="C32" s="81"/>
      <c r="D32" s="82"/>
      <c r="E32" s="83">
        <f>E168</f>
        <v>347710200</v>
      </c>
      <c r="F32" s="72"/>
      <c r="G32" s="62" t="str">
        <f t="shared" si="4"/>
        <v>#REF!</v>
      </c>
      <c r="H32" s="63"/>
      <c r="I32" s="64"/>
      <c r="J32" s="84">
        <f>J168</f>
        <v>361116745</v>
      </c>
      <c r="K32" s="4"/>
      <c r="L32" s="62" t="str">
        <f t="shared" si="5"/>
        <v>#REF!</v>
      </c>
      <c r="M32" s="63"/>
      <c r="N32" s="64"/>
      <c r="O32" s="84">
        <f>O168</f>
        <v>336554100</v>
      </c>
      <c r="P32" s="1"/>
    </row>
    <row r="33" ht="18.75" customHeight="1">
      <c r="A33" s="85"/>
      <c r="B33" s="86" t="s">
        <v>29</v>
      </c>
      <c r="C33" s="87"/>
      <c r="D33" s="88"/>
      <c r="E33" s="89">
        <f>SUM(E27:E32)</f>
        <v>389260721</v>
      </c>
      <c r="F33" s="66"/>
      <c r="G33" s="86" t="s">
        <v>29</v>
      </c>
      <c r="H33" s="87"/>
      <c r="I33" s="88"/>
      <c r="J33" s="89">
        <f>SUM(J27:J32)</f>
        <v>398321493</v>
      </c>
      <c r="K33" s="85"/>
      <c r="L33" s="86" t="s">
        <v>29</v>
      </c>
      <c r="M33" s="87"/>
      <c r="N33" s="88"/>
      <c r="O33" s="89">
        <f>SUM(O27:O32)</f>
        <v>377237719</v>
      </c>
      <c r="P33" s="1"/>
    </row>
    <row r="34" ht="24.0" customHeight="1">
      <c r="A34" s="85"/>
      <c r="B34" s="90" t="s">
        <v>30</v>
      </c>
      <c r="C34" s="91"/>
      <c r="D34" s="92"/>
      <c r="E34" s="93">
        <f>E24-E33</f>
        <v>40064279</v>
      </c>
      <c r="F34" s="94"/>
      <c r="G34" s="90" t="s">
        <v>30</v>
      </c>
      <c r="H34" s="91"/>
      <c r="I34" s="92"/>
      <c r="J34" s="93">
        <f>J24-J33</f>
        <v>31328507</v>
      </c>
      <c r="K34" s="95"/>
      <c r="L34" s="90" t="s">
        <v>30</v>
      </c>
      <c r="M34" s="91"/>
      <c r="N34" s="92"/>
      <c r="O34" s="93">
        <f>O24-O33</f>
        <v>52737281</v>
      </c>
      <c r="P34" s="85"/>
    </row>
    <row r="35" ht="18.75" customHeight="1">
      <c r="A35" s="1"/>
      <c r="B35" s="96"/>
      <c r="C35" s="96"/>
      <c r="D35" s="96"/>
      <c r="E35" s="97"/>
      <c r="F35" s="66"/>
      <c r="G35" s="1"/>
      <c r="H35" s="1"/>
      <c r="I35" s="1"/>
      <c r="J35" s="98"/>
      <c r="K35" s="1"/>
      <c r="L35" s="96"/>
      <c r="M35" s="96"/>
      <c r="N35" s="96"/>
      <c r="O35" s="97"/>
      <c r="P35" s="1"/>
    </row>
    <row r="36" ht="27.0" customHeight="1">
      <c r="A36" s="4"/>
      <c r="B36" s="99" t="s">
        <v>31</v>
      </c>
      <c r="C36" s="87"/>
      <c r="D36" s="87"/>
      <c r="E36" s="88"/>
      <c r="F36" s="66"/>
      <c r="G36" s="99" t="s">
        <v>31</v>
      </c>
      <c r="H36" s="87"/>
      <c r="I36" s="87"/>
      <c r="J36" s="88"/>
      <c r="K36" s="4"/>
      <c r="L36" s="99" t="s">
        <v>31</v>
      </c>
      <c r="M36" s="87"/>
      <c r="N36" s="87"/>
      <c r="O36" s="88"/>
      <c r="P36" s="100"/>
    </row>
    <row r="37" ht="23.25" customHeight="1">
      <c r="A37" s="101" t="s">
        <v>32</v>
      </c>
      <c r="B37" s="102" t="str">
        <f>'🏦COVER🏦'!D11</f>
        <v>#REF!</v>
      </c>
      <c r="C37" s="103" t="s">
        <v>5</v>
      </c>
      <c r="D37" s="103" t="s">
        <v>6</v>
      </c>
      <c r="E37" s="104" t="s">
        <v>7</v>
      </c>
      <c r="F37" s="66"/>
      <c r="G37" s="102" t="str">
        <f>B37</f>
        <v>#REF!</v>
      </c>
      <c r="H37" s="103" t="s">
        <v>5</v>
      </c>
      <c r="I37" s="103" t="s">
        <v>6</v>
      </c>
      <c r="J37" s="104" t="s">
        <v>7</v>
      </c>
      <c r="K37" s="1"/>
      <c r="L37" s="102" t="str">
        <f>G37</f>
        <v>#REF!</v>
      </c>
      <c r="M37" s="103" t="s">
        <v>5</v>
      </c>
      <c r="N37" s="103" t="s">
        <v>6</v>
      </c>
      <c r="O37" s="104" t="s">
        <v>7</v>
      </c>
      <c r="P37" s="1"/>
    </row>
    <row r="38" ht="15.75" customHeight="1">
      <c r="A38" s="4"/>
      <c r="B38" s="105" t="s">
        <v>33</v>
      </c>
      <c r="C38" s="106">
        <v>15000.0</v>
      </c>
      <c r="D38" s="107">
        <v>39.0</v>
      </c>
      <c r="E38" s="108">
        <f t="shared" ref="E38:E66" si="6">C38*D38</f>
        <v>585000</v>
      </c>
      <c r="F38" s="66" t="str">
        <f t="shared" ref="F38:F39" si="7">G38</f>
        <v>Lanyard CDT</v>
      </c>
      <c r="G38" s="105" t="s">
        <v>33</v>
      </c>
      <c r="H38" s="106">
        <v>10000.0</v>
      </c>
      <c r="I38" s="107">
        <v>39.0</v>
      </c>
      <c r="J38" s="108">
        <f t="shared" ref="J38:J73" si="8">H38*I38</f>
        <v>390000</v>
      </c>
      <c r="K38" s="4"/>
      <c r="L38" s="105" t="s">
        <v>33</v>
      </c>
      <c r="M38" s="106">
        <v>9000.0</v>
      </c>
      <c r="N38" s="107">
        <v>39.0</v>
      </c>
      <c r="O38" s="109">
        <f t="shared" ref="O38:O66" si="9">M38*N38</f>
        <v>351000</v>
      </c>
      <c r="P38" s="1"/>
    </row>
    <row r="39" ht="15.75" customHeight="1">
      <c r="A39" s="4"/>
      <c r="B39" s="110" t="s">
        <v>34</v>
      </c>
      <c r="C39" s="106">
        <v>80000.0</v>
      </c>
      <c r="D39" s="107">
        <v>39.0</v>
      </c>
      <c r="E39" s="111">
        <f t="shared" si="6"/>
        <v>3120000</v>
      </c>
      <c r="F39" s="66" t="str">
        <f t="shared" si="7"/>
        <v>Baju CDT</v>
      </c>
      <c r="G39" s="110" t="s">
        <v>34</v>
      </c>
      <c r="H39" s="106">
        <v>55000.0</v>
      </c>
      <c r="I39" s="107">
        <v>40.0</v>
      </c>
      <c r="J39" s="109">
        <f t="shared" si="8"/>
        <v>2200000</v>
      </c>
      <c r="K39" s="4"/>
      <c r="L39" s="110" t="s">
        <v>34</v>
      </c>
      <c r="M39" s="106">
        <v>80000.0</v>
      </c>
      <c r="N39" s="107">
        <v>39.0</v>
      </c>
      <c r="O39" s="109">
        <f t="shared" si="9"/>
        <v>3120000</v>
      </c>
      <c r="P39" s="1"/>
    </row>
    <row r="40" ht="15.75" customHeight="1">
      <c r="A40" s="4"/>
      <c r="B40" s="110" t="s">
        <v>35</v>
      </c>
      <c r="C40" s="106">
        <v>70000.0</v>
      </c>
      <c r="D40" s="107">
        <v>45.0</v>
      </c>
      <c r="E40" s="111">
        <f t="shared" si="6"/>
        <v>3150000</v>
      </c>
      <c r="F40" s="66"/>
      <c r="G40" s="110" t="s">
        <v>35</v>
      </c>
      <c r="H40" s="106">
        <v>55000.0</v>
      </c>
      <c r="I40" s="107">
        <v>48.0</v>
      </c>
      <c r="J40" s="109">
        <f t="shared" si="8"/>
        <v>2640000</v>
      </c>
      <c r="K40" s="4"/>
      <c r="L40" s="110" t="s">
        <v>35</v>
      </c>
      <c r="M40" s="106">
        <v>70000.0</v>
      </c>
      <c r="N40" s="107">
        <v>45.0</v>
      </c>
      <c r="O40" s="109">
        <f t="shared" si="9"/>
        <v>3150000</v>
      </c>
      <c r="P40" s="1"/>
    </row>
    <row r="41" ht="15.75" customHeight="1">
      <c r="A41" s="4"/>
      <c r="B41" s="110" t="s">
        <v>12</v>
      </c>
      <c r="C41" s="106">
        <v>45000.0</v>
      </c>
      <c r="D41" s="107">
        <v>15.0</v>
      </c>
      <c r="E41" s="109">
        <f t="shared" si="6"/>
        <v>675000</v>
      </c>
      <c r="F41" s="66" t="str">
        <f t="shared" ref="F41:F42" si="10">G41</f>
        <v>[Merchandise] Baseball Cap</v>
      </c>
      <c r="G41" s="110" t="s">
        <v>12</v>
      </c>
      <c r="H41" s="106">
        <v>40000.0</v>
      </c>
      <c r="I41" s="107">
        <v>25.0</v>
      </c>
      <c r="J41" s="109">
        <f t="shared" si="8"/>
        <v>1000000</v>
      </c>
      <c r="K41" s="4"/>
      <c r="L41" s="110" t="s">
        <v>12</v>
      </c>
      <c r="M41" s="106">
        <v>35000.0</v>
      </c>
      <c r="N41" s="107">
        <v>35.0</v>
      </c>
      <c r="O41" s="109">
        <f t="shared" si="9"/>
        <v>1225000</v>
      </c>
      <c r="P41" s="1"/>
    </row>
    <row r="42" ht="15.75" customHeight="1">
      <c r="A42" s="4"/>
      <c r="B42" s="110" t="s">
        <v>13</v>
      </c>
      <c r="C42" s="106">
        <v>135000.0</v>
      </c>
      <c r="D42" s="107">
        <v>5.0</v>
      </c>
      <c r="E42" s="109">
        <f t="shared" si="6"/>
        <v>675000</v>
      </c>
      <c r="F42" s="66" t="str">
        <f t="shared" si="10"/>
        <v>[Merchandise] Baseball Shirt</v>
      </c>
      <c r="G42" s="110" t="s">
        <v>13</v>
      </c>
      <c r="H42" s="106">
        <v>120000.0</v>
      </c>
      <c r="I42" s="107">
        <v>25.0</v>
      </c>
      <c r="J42" s="109">
        <f t="shared" si="8"/>
        <v>3000000</v>
      </c>
      <c r="K42" s="4"/>
      <c r="L42" s="110" t="s">
        <v>13</v>
      </c>
      <c r="M42" s="106">
        <v>100000.0</v>
      </c>
      <c r="N42" s="107">
        <v>35.0</v>
      </c>
      <c r="O42" s="109">
        <f t="shared" si="9"/>
        <v>3500000</v>
      </c>
      <c r="P42" s="1"/>
    </row>
    <row r="43" ht="15.75" customHeight="1">
      <c r="A43" s="4"/>
      <c r="B43" s="110" t="s">
        <v>14</v>
      </c>
      <c r="C43" s="106">
        <v>85000.0</v>
      </c>
      <c r="D43" s="107">
        <v>5.0</v>
      </c>
      <c r="E43" s="109">
        <f t="shared" si="6"/>
        <v>425000</v>
      </c>
      <c r="F43" s="66"/>
      <c r="G43" s="110" t="s">
        <v>14</v>
      </c>
      <c r="H43" s="106">
        <v>80000.0</v>
      </c>
      <c r="I43" s="107">
        <v>10.0</v>
      </c>
      <c r="J43" s="109">
        <f t="shared" si="8"/>
        <v>800000</v>
      </c>
      <c r="K43" s="4"/>
      <c r="L43" s="110" t="s">
        <v>14</v>
      </c>
      <c r="M43" s="106">
        <v>70000.0</v>
      </c>
      <c r="N43" s="107">
        <v>15.0</v>
      </c>
      <c r="O43" s="109">
        <f t="shared" si="9"/>
        <v>1050000</v>
      </c>
      <c r="P43" s="1"/>
    </row>
    <row r="44" ht="15.75" customHeight="1">
      <c r="A44" s="4"/>
      <c r="B44" s="110" t="s">
        <v>18</v>
      </c>
      <c r="C44" s="106">
        <v>6000.0</v>
      </c>
      <c r="D44" s="107">
        <v>110.0</v>
      </c>
      <c r="E44" s="109">
        <f t="shared" si="6"/>
        <v>660000</v>
      </c>
      <c r="F44" s="66"/>
      <c r="G44" s="110" t="s">
        <v>18</v>
      </c>
      <c r="H44" s="106">
        <v>6000.0</v>
      </c>
      <c r="I44" s="107">
        <v>135.0</v>
      </c>
      <c r="J44" s="109">
        <f t="shared" si="8"/>
        <v>810000</v>
      </c>
      <c r="K44" s="4"/>
      <c r="L44" s="110" t="s">
        <v>18</v>
      </c>
      <c r="M44" s="106">
        <v>6000.0</v>
      </c>
      <c r="N44" s="107">
        <v>160.0</v>
      </c>
      <c r="O44" s="109">
        <f t="shared" si="9"/>
        <v>960000</v>
      </c>
      <c r="P44" s="1"/>
    </row>
    <row r="45" ht="15.75" customHeight="1">
      <c r="A45" s="4"/>
      <c r="B45" s="110" t="s">
        <v>16</v>
      </c>
      <c r="C45" s="106">
        <v>8000.0</v>
      </c>
      <c r="D45" s="107">
        <v>110.0</v>
      </c>
      <c r="E45" s="109">
        <f t="shared" si="6"/>
        <v>880000</v>
      </c>
      <c r="F45" s="66"/>
      <c r="G45" s="110" t="s">
        <v>16</v>
      </c>
      <c r="H45" s="106">
        <v>7000.0</v>
      </c>
      <c r="I45" s="107">
        <v>135.0</v>
      </c>
      <c r="J45" s="109">
        <f t="shared" si="8"/>
        <v>945000</v>
      </c>
      <c r="K45" s="4"/>
      <c r="L45" s="110" t="s">
        <v>16</v>
      </c>
      <c r="M45" s="106">
        <v>6500.0</v>
      </c>
      <c r="N45" s="107">
        <v>160.0</v>
      </c>
      <c r="O45" s="109">
        <f t="shared" si="9"/>
        <v>1040000</v>
      </c>
      <c r="P45" s="1"/>
    </row>
    <row r="46" ht="15.75" customHeight="1">
      <c r="A46" s="4"/>
      <c r="B46" s="110" t="s">
        <v>36</v>
      </c>
      <c r="C46" s="106">
        <v>7000.0</v>
      </c>
      <c r="D46" s="107">
        <v>5.0</v>
      </c>
      <c r="E46" s="109">
        <f t="shared" si="6"/>
        <v>35000</v>
      </c>
      <c r="F46" s="66"/>
      <c r="G46" s="110" t="s">
        <v>36</v>
      </c>
      <c r="H46" s="106">
        <v>6000.0</v>
      </c>
      <c r="I46" s="107">
        <v>10.0</v>
      </c>
      <c r="J46" s="109">
        <f t="shared" si="8"/>
        <v>60000</v>
      </c>
      <c r="K46" s="4"/>
      <c r="L46" s="110" t="s">
        <v>36</v>
      </c>
      <c r="M46" s="106">
        <v>5000.0</v>
      </c>
      <c r="N46" s="107">
        <v>15.0</v>
      </c>
      <c r="O46" s="109">
        <f t="shared" si="9"/>
        <v>75000</v>
      </c>
      <c r="P46" s="1"/>
    </row>
    <row r="47" ht="15.75" customHeight="1">
      <c r="A47" s="4"/>
      <c r="B47" s="110" t="s">
        <v>15</v>
      </c>
      <c r="C47" s="106">
        <v>8000.0</v>
      </c>
      <c r="D47" s="107">
        <v>59.0</v>
      </c>
      <c r="E47" s="109">
        <f t="shared" si="6"/>
        <v>472000</v>
      </c>
      <c r="F47" s="66"/>
      <c r="G47" s="110" t="s">
        <v>15</v>
      </c>
      <c r="H47" s="106">
        <v>5000.0</v>
      </c>
      <c r="I47" s="107">
        <v>70.0</v>
      </c>
      <c r="J47" s="109">
        <f t="shared" si="8"/>
        <v>350000</v>
      </c>
      <c r="K47" s="4"/>
      <c r="L47" s="110" t="s">
        <v>15</v>
      </c>
      <c r="M47" s="106">
        <v>4000.0</v>
      </c>
      <c r="N47" s="107">
        <v>88.0</v>
      </c>
      <c r="O47" s="109">
        <f t="shared" si="9"/>
        <v>352000</v>
      </c>
      <c r="P47" s="1"/>
    </row>
    <row r="48" ht="15.75" customHeight="1">
      <c r="A48" s="4"/>
      <c r="B48" s="110" t="s">
        <v>37</v>
      </c>
      <c r="C48" s="106">
        <v>22999.0</v>
      </c>
      <c r="D48" s="107">
        <v>2.0</v>
      </c>
      <c r="E48" s="109">
        <f t="shared" si="6"/>
        <v>45998</v>
      </c>
      <c r="F48" s="66"/>
      <c r="G48" s="110" t="s">
        <v>37</v>
      </c>
      <c r="H48" s="106">
        <v>22999.0</v>
      </c>
      <c r="I48" s="107">
        <v>3.0</v>
      </c>
      <c r="J48" s="109">
        <f t="shared" si="8"/>
        <v>68997</v>
      </c>
      <c r="K48" s="4"/>
      <c r="L48" s="110" t="s">
        <v>37</v>
      </c>
      <c r="M48" s="106">
        <v>22999.0</v>
      </c>
      <c r="N48" s="107">
        <v>4.0</v>
      </c>
      <c r="O48" s="109">
        <f t="shared" si="9"/>
        <v>91996</v>
      </c>
      <c r="P48" s="1"/>
    </row>
    <row r="49" ht="15.75" customHeight="1">
      <c r="A49" s="4"/>
      <c r="B49" s="110" t="s">
        <v>38</v>
      </c>
      <c r="C49" s="106">
        <v>15000.0</v>
      </c>
      <c r="D49" s="107">
        <v>5.0</v>
      </c>
      <c r="E49" s="109">
        <f t="shared" si="6"/>
        <v>75000</v>
      </c>
      <c r="F49" s="66"/>
      <c r="G49" s="110" t="s">
        <v>38</v>
      </c>
      <c r="H49" s="106">
        <v>14000.0</v>
      </c>
      <c r="I49" s="107">
        <v>8.0</v>
      </c>
      <c r="J49" s="109">
        <f t="shared" si="8"/>
        <v>112000</v>
      </c>
      <c r="K49" s="4"/>
      <c r="L49" s="110" t="s">
        <v>38</v>
      </c>
      <c r="M49" s="106">
        <v>12700.0</v>
      </c>
      <c r="N49" s="107">
        <v>10.0</v>
      </c>
      <c r="O49" s="109">
        <f t="shared" si="9"/>
        <v>127000</v>
      </c>
      <c r="P49" s="1"/>
    </row>
    <row r="50" ht="15.75" customHeight="1">
      <c r="A50" s="4"/>
      <c r="B50" s="110" t="s">
        <v>39</v>
      </c>
      <c r="C50" s="106">
        <v>44200.0</v>
      </c>
      <c r="D50" s="107">
        <v>5.0</v>
      </c>
      <c r="E50" s="109">
        <f t="shared" si="6"/>
        <v>221000</v>
      </c>
      <c r="F50" s="66"/>
      <c r="G50" s="110" t="s">
        <v>39</v>
      </c>
      <c r="H50" s="106">
        <v>43500.0</v>
      </c>
      <c r="I50" s="107">
        <v>5.0</v>
      </c>
      <c r="J50" s="109">
        <f t="shared" si="8"/>
        <v>217500</v>
      </c>
      <c r="K50" s="4"/>
      <c r="L50" s="110" t="s">
        <v>39</v>
      </c>
      <c r="M50" s="106">
        <v>37600.0</v>
      </c>
      <c r="N50" s="107">
        <v>5.0</v>
      </c>
      <c r="O50" s="109">
        <f t="shared" si="9"/>
        <v>188000</v>
      </c>
      <c r="P50" s="1"/>
    </row>
    <row r="51" ht="15.75" customHeight="1">
      <c r="A51" s="4"/>
      <c r="B51" s="110" t="s">
        <v>40</v>
      </c>
      <c r="C51" s="106">
        <v>22000.0</v>
      </c>
      <c r="D51" s="107">
        <v>5.0</v>
      </c>
      <c r="E51" s="109">
        <f t="shared" si="6"/>
        <v>110000</v>
      </c>
      <c r="F51" s="66"/>
      <c r="G51" s="110" t="s">
        <v>40</v>
      </c>
      <c r="H51" s="106">
        <v>20600.0</v>
      </c>
      <c r="I51" s="107">
        <v>7.0</v>
      </c>
      <c r="J51" s="109">
        <f t="shared" si="8"/>
        <v>144200</v>
      </c>
      <c r="K51" s="4"/>
      <c r="L51" s="110" t="s">
        <v>40</v>
      </c>
      <c r="M51" s="106">
        <v>18800.0</v>
      </c>
      <c r="N51" s="107">
        <v>10.0</v>
      </c>
      <c r="O51" s="109">
        <f t="shared" si="9"/>
        <v>188000</v>
      </c>
      <c r="P51" s="1"/>
    </row>
    <row r="52" ht="15.75" customHeight="1">
      <c r="A52" s="4"/>
      <c r="B52" s="110" t="s">
        <v>41</v>
      </c>
      <c r="C52" s="106">
        <v>8250.0</v>
      </c>
      <c r="D52" s="107">
        <v>5.0</v>
      </c>
      <c r="E52" s="109">
        <f t="shared" si="6"/>
        <v>41250</v>
      </c>
      <c r="F52" s="66"/>
      <c r="G52" s="110" t="s">
        <v>41</v>
      </c>
      <c r="H52" s="106">
        <v>8000.0</v>
      </c>
      <c r="I52" s="107">
        <v>5.0</v>
      </c>
      <c r="J52" s="109">
        <f t="shared" si="8"/>
        <v>40000</v>
      </c>
      <c r="K52" s="4"/>
      <c r="L52" s="110" t="s">
        <v>41</v>
      </c>
      <c r="M52" s="106">
        <v>6700.0</v>
      </c>
      <c r="N52" s="107">
        <v>5.0</v>
      </c>
      <c r="O52" s="109">
        <f t="shared" si="9"/>
        <v>33500</v>
      </c>
      <c r="P52" s="1"/>
    </row>
    <row r="53" ht="15.75" customHeight="1">
      <c r="A53" s="4"/>
      <c r="B53" s="110" t="s">
        <v>42</v>
      </c>
      <c r="C53" s="106">
        <v>23400.0</v>
      </c>
      <c r="D53" s="107">
        <v>2.0</v>
      </c>
      <c r="E53" s="109">
        <f t="shared" si="6"/>
        <v>46800</v>
      </c>
      <c r="F53" s="66"/>
      <c r="G53" s="110" t="s">
        <v>42</v>
      </c>
      <c r="H53" s="106">
        <v>23000.0</v>
      </c>
      <c r="I53" s="107">
        <v>4.0</v>
      </c>
      <c r="J53" s="109">
        <f t="shared" si="8"/>
        <v>92000</v>
      </c>
      <c r="K53" s="4"/>
      <c r="L53" s="110" t="s">
        <v>42</v>
      </c>
      <c r="M53" s="106">
        <v>22000.0</v>
      </c>
      <c r="N53" s="107">
        <v>5.0</v>
      </c>
      <c r="O53" s="109">
        <f t="shared" si="9"/>
        <v>110000</v>
      </c>
      <c r="P53" s="1"/>
    </row>
    <row r="54" ht="15.75" customHeight="1">
      <c r="A54" s="4"/>
      <c r="B54" s="110" t="s">
        <v>43</v>
      </c>
      <c r="C54" s="106">
        <v>23500.0</v>
      </c>
      <c r="D54" s="107">
        <v>2.0</v>
      </c>
      <c r="E54" s="109">
        <f t="shared" si="6"/>
        <v>47000</v>
      </c>
      <c r="F54" s="66"/>
      <c r="G54" s="110" t="s">
        <v>43</v>
      </c>
      <c r="H54" s="106">
        <v>22500.0</v>
      </c>
      <c r="I54" s="107">
        <v>4.0</v>
      </c>
      <c r="J54" s="109">
        <f t="shared" si="8"/>
        <v>90000</v>
      </c>
      <c r="K54" s="4"/>
      <c r="L54" s="110" t="s">
        <v>43</v>
      </c>
      <c r="M54" s="106">
        <v>20990.0</v>
      </c>
      <c r="N54" s="107">
        <v>5.0</v>
      </c>
      <c r="O54" s="109">
        <f t="shared" si="9"/>
        <v>104950</v>
      </c>
      <c r="P54" s="1"/>
    </row>
    <row r="55" ht="15.75" customHeight="1">
      <c r="A55" s="4"/>
      <c r="B55" s="110" t="s">
        <v>44</v>
      </c>
      <c r="C55" s="106">
        <v>12250.0</v>
      </c>
      <c r="D55" s="107">
        <v>2.0</v>
      </c>
      <c r="E55" s="109">
        <f t="shared" si="6"/>
        <v>24500</v>
      </c>
      <c r="F55" s="66"/>
      <c r="G55" s="110" t="s">
        <v>44</v>
      </c>
      <c r="H55" s="106">
        <v>10999.0</v>
      </c>
      <c r="I55" s="107">
        <v>4.0</v>
      </c>
      <c r="J55" s="109">
        <f t="shared" si="8"/>
        <v>43996</v>
      </c>
      <c r="K55" s="4"/>
      <c r="L55" s="110" t="s">
        <v>44</v>
      </c>
      <c r="M55" s="106">
        <v>10400.0</v>
      </c>
      <c r="N55" s="107">
        <v>5.0</v>
      </c>
      <c r="O55" s="109">
        <f t="shared" si="9"/>
        <v>52000</v>
      </c>
      <c r="P55" s="1"/>
    </row>
    <row r="56" ht="15.75" customHeight="1">
      <c r="A56" s="4"/>
      <c r="B56" s="110" t="s">
        <v>45</v>
      </c>
      <c r="C56" s="106">
        <v>11750.0</v>
      </c>
      <c r="D56" s="107">
        <v>5.0</v>
      </c>
      <c r="E56" s="109">
        <f t="shared" si="6"/>
        <v>58750</v>
      </c>
      <c r="F56" s="66"/>
      <c r="G56" s="110" t="s">
        <v>45</v>
      </c>
      <c r="H56" s="106">
        <v>11548.0</v>
      </c>
      <c r="I56" s="107">
        <v>5.0</v>
      </c>
      <c r="J56" s="109">
        <f t="shared" si="8"/>
        <v>57740</v>
      </c>
      <c r="K56" s="4"/>
      <c r="L56" s="110" t="s">
        <v>45</v>
      </c>
      <c r="M56" s="106">
        <v>10500.0</v>
      </c>
      <c r="N56" s="107">
        <v>5.0</v>
      </c>
      <c r="O56" s="109">
        <f t="shared" si="9"/>
        <v>52500</v>
      </c>
      <c r="P56" s="1"/>
    </row>
    <row r="57" ht="15.75" customHeight="1">
      <c r="A57" s="4"/>
      <c r="B57" s="110" t="s">
        <v>46</v>
      </c>
      <c r="C57" s="106">
        <v>3200.0</v>
      </c>
      <c r="D57" s="107">
        <v>20.0</v>
      </c>
      <c r="E57" s="109">
        <f t="shared" si="6"/>
        <v>64000</v>
      </c>
      <c r="F57" s="66"/>
      <c r="G57" s="110" t="s">
        <v>46</v>
      </c>
      <c r="H57" s="106">
        <v>3200.0</v>
      </c>
      <c r="I57" s="107">
        <v>30.0</v>
      </c>
      <c r="J57" s="109">
        <f t="shared" si="8"/>
        <v>96000</v>
      </c>
      <c r="K57" s="4"/>
      <c r="L57" s="110" t="s">
        <v>46</v>
      </c>
      <c r="M57" s="106">
        <v>3200.0</v>
      </c>
      <c r="N57" s="107">
        <v>35.0</v>
      </c>
      <c r="O57" s="109">
        <f t="shared" si="9"/>
        <v>112000</v>
      </c>
      <c r="P57" s="1"/>
    </row>
    <row r="58" ht="15.75" customHeight="1">
      <c r="A58" s="4"/>
      <c r="B58" s="110" t="s">
        <v>47</v>
      </c>
      <c r="C58" s="106">
        <v>2500.0</v>
      </c>
      <c r="D58" s="107">
        <v>20.0</v>
      </c>
      <c r="E58" s="109">
        <f t="shared" si="6"/>
        <v>50000</v>
      </c>
      <c r="F58" s="66"/>
      <c r="G58" s="110" t="s">
        <v>47</v>
      </c>
      <c r="H58" s="106">
        <v>2500.0</v>
      </c>
      <c r="I58" s="107">
        <v>30.0</v>
      </c>
      <c r="J58" s="109">
        <f t="shared" si="8"/>
        <v>75000</v>
      </c>
      <c r="K58" s="4"/>
      <c r="L58" s="110" t="s">
        <v>47</v>
      </c>
      <c r="M58" s="106">
        <v>2500.0</v>
      </c>
      <c r="N58" s="107">
        <v>35.0</v>
      </c>
      <c r="O58" s="109">
        <f t="shared" si="9"/>
        <v>87500</v>
      </c>
      <c r="P58" s="1"/>
    </row>
    <row r="59" ht="15.75" customHeight="1">
      <c r="A59" s="4"/>
      <c r="B59" s="110" t="s">
        <v>48</v>
      </c>
      <c r="C59" s="106">
        <v>2500.0</v>
      </c>
      <c r="D59" s="107">
        <v>20.0</v>
      </c>
      <c r="E59" s="109">
        <f t="shared" si="6"/>
        <v>50000</v>
      </c>
      <c r="F59" s="66"/>
      <c r="G59" s="110" t="s">
        <v>48</v>
      </c>
      <c r="H59" s="106">
        <v>2500.0</v>
      </c>
      <c r="I59" s="107">
        <v>30.0</v>
      </c>
      <c r="J59" s="109">
        <f t="shared" si="8"/>
        <v>75000</v>
      </c>
      <c r="K59" s="4"/>
      <c r="L59" s="110" t="s">
        <v>48</v>
      </c>
      <c r="M59" s="106">
        <v>2500.0</v>
      </c>
      <c r="N59" s="107">
        <v>35.0</v>
      </c>
      <c r="O59" s="109">
        <f t="shared" si="9"/>
        <v>87500</v>
      </c>
      <c r="P59" s="1"/>
    </row>
    <row r="60" ht="15.75" customHeight="1">
      <c r="A60" s="4"/>
      <c r="B60" s="110" t="s">
        <v>49</v>
      </c>
      <c r="C60" s="106">
        <v>2300.0</v>
      </c>
      <c r="D60" s="107">
        <v>20.0</v>
      </c>
      <c r="E60" s="109">
        <f t="shared" si="6"/>
        <v>46000</v>
      </c>
      <c r="F60" s="66"/>
      <c r="G60" s="110" t="s">
        <v>49</v>
      </c>
      <c r="H60" s="106">
        <v>2300.0</v>
      </c>
      <c r="I60" s="107">
        <v>30.0</v>
      </c>
      <c r="J60" s="109">
        <f t="shared" si="8"/>
        <v>69000</v>
      </c>
      <c r="K60" s="4"/>
      <c r="L60" s="110" t="s">
        <v>49</v>
      </c>
      <c r="M60" s="106">
        <v>2300.0</v>
      </c>
      <c r="N60" s="107">
        <v>35.0</v>
      </c>
      <c r="O60" s="109">
        <f t="shared" si="9"/>
        <v>80500</v>
      </c>
      <c r="P60" s="1"/>
    </row>
    <row r="61" ht="15.75" customHeight="1">
      <c r="A61" s="4"/>
      <c r="B61" s="110" t="s">
        <v>50</v>
      </c>
      <c r="C61" s="106">
        <v>27270.0</v>
      </c>
      <c r="D61" s="107">
        <v>3.0</v>
      </c>
      <c r="E61" s="109">
        <f t="shared" si="6"/>
        <v>81810</v>
      </c>
      <c r="F61" s="66"/>
      <c r="G61" s="110" t="s">
        <v>50</v>
      </c>
      <c r="H61" s="106">
        <v>26500.0</v>
      </c>
      <c r="I61" s="107">
        <v>5.0</v>
      </c>
      <c r="J61" s="109">
        <f t="shared" si="8"/>
        <v>132500</v>
      </c>
      <c r="K61" s="4"/>
      <c r="L61" s="110" t="s">
        <v>50</v>
      </c>
      <c r="M61" s="106">
        <v>23990.0</v>
      </c>
      <c r="N61" s="107">
        <v>7.0</v>
      </c>
      <c r="O61" s="109">
        <f t="shared" si="9"/>
        <v>167930</v>
      </c>
      <c r="P61" s="1"/>
    </row>
    <row r="62" ht="15.75" customHeight="1">
      <c r="A62" s="4"/>
      <c r="B62" s="110" t="s">
        <v>51</v>
      </c>
      <c r="C62" s="106">
        <v>50000.0</v>
      </c>
      <c r="D62" s="107">
        <v>323.0</v>
      </c>
      <c r="E62" s="109">
        <f t="shared" si="6"/>
        <v>16150000</v>
      </c>
      <c r="F62" s="66"/>
      <c r="G62" s="110" t="s">
        <v>51</v>
      </c>
      <c r="H62" s="106">
        <v>50000.0</v>
      </c>
      <c r="I62" s="107">
        <v>325.0</v>
      </c>
      <c r="J62" s="109">
        <f t="shared" si="8"/>
        <v>16250000</v>
      </c>
      <c r="K62" s="4"/>
      <c r="L62" s="110" t="s">
        <v>51</v>
      </c>
      <c r="M62" s="106">
        <v>50000.0</v>
      </c>
      <c r="N62" s="107">
        <v>330.0</v>
      </c>
      <c r="O62" s="109">
        <f t="shared" si="9"/>
        <v>16500000</v>
      </c>
      <c r="P62" s="1"/>
    </row>
    <row r="63" ht="15.75" customHeight="1">
      <c r="A63" s="4"/>
      <c r="B63" s="110" t="s">
        <v>52</v>
      </c>
      <c r="C63" s="106">
        <v>17000.0</v>
      </c>
      <c r="D63" s="107">
        <v>4.0</v>
      </c>
      <c r="E63" s="109">
        <f t="shared" si="6"/>
        <v>68000</v>
      </c>
      <c r="F63" s="66"/>
      <c r="G63" s="110" t="s">
        <v>52</v>
      </c>
      <c r="H63" s="106">
        <v>17000.0</v>
      </c>
      <c r="I63" s="107">
        <v>4.0</v>
      </c>
      <c r="J63" s="109">
        <f t="shared" si="8"/>
        <v>68000</v>
      </c>
      <c r="K63" s="4"/>
      <c r="L63" s="110" t="s">
        <v>52</v>
      </c>
      <c r="M63" s="106">
        <v>17000.0</v>
      </c>
      <c r="N63" s="107">
        <v>4.0</v>
      </c>
      <c r="O63" s="109">
        <f t="shared" si="9"/>
        <v>68000</v>
      </c>
      <c r="P63" s="1"/>
    </row>
    <row r="64" ht="15.75" customHeight="1">
      <c r="A64" s="4"/>
      <c r="B64" s="110" t="s">
        <v>53</v>
      </c>
      <c r="C64" s="106">
        <v>2500.0</v>
      </c>
      <c r="D64" s="107">
        <v>35.0</v>
      </c>
      <c r="E64" s="109">
        <f t="shared" si="6"/>
        <v>87500</v>
      </c>
      <c r="F64" s="66"/>
      <c r="G64" s="110" t="s">
        <v>53</v>
      </c>
      <c r="H64" s="106">
        <v>2500.0</v>
      </c>
      <c r="I64" s="107">
        <v>30.0</v>
      </c>
      <c r="J64" s="109">
        <f t="shared" si="8"/>
        <v>75000</v>
      </c>
      <c r="K64" s="4"/>
      <c r="L64" s="110" t="s">
        <v>53</v>
      </c>
      <c r="M64" s="106">
        <v>2500.0</v>
      </c>
      <c r="N64" s="107">
        <v>25.0</v>
      </c>
      <c r="O64" s="109">
        <f t="shared" si="9"/>
        <v>62500</v>
      </c>
      <c r="P64" s="1"/>
    </row>
    <row r="65" ht="15.75" customHeight="1">
      <c r="A65" s="4"/>
      <c r="B65" s="110" t="s">
        <v>54</v>
      </c>
      <c r="C65" s="106">
        <v>100000.0</v>
      </c>
      <c r="D65" s="112">
        <v>1.0</v>
      </c>
      <c r="E65" s="109">
        <f t="shared" si="6"/>
        <v>100000</v>
      </c>
      <c r="F65" s="66"/>
      <c r="G65" s="110" t="s">
        <v>54</v>
      </c>
      <c r="H65" s="106">
        <v>100000.0</v>
      </c>
      <c r="I65" s="107">
        <v>1.0</v>
      </c>
      <c r="J65" s="109">
        <f t="shared" si="8"/>
        <v>100000</v>
      </c>
      <c r="K65" s="4"/>
      <c r="L65" s="110" t="s">
        <v>54</v>
      </c>
      <c r="M65" s="106">
        <v>100000.0</v>
      </c>
      <c r="N65" s="107">
        <v>1.0</v>
      </c>
      <c r="O65" s="109">
        <f t="shared" si="9"/>
        <v>100000</v>
      </c>
      <c r="P65" s="1"/>
    </row>
    <row r="66" ht="15.75" customHeight="1">
      <c r="A66" s="4"/>
      <c r="B66" s="110" t="s">
        <v>55</v>
      </c>
      <c r="C66" s="106">
        <v>3000000.0</v>
      </c>
      <c r="D66" s="107">
        <v>1.0</v>
      </c>
      <c r="E66" s="109">
        <f t="shared" si="6"/>
        <v>3000000</v>
      </c>
      <c r="F66" s="66"/>
      <c r="G66" s="110" t="s">
        <v>55</v>
      </c>
      <c r="H66" s="106">
        <v>2000000.0</v>
      </c>
      <c r="I66" s="107">
        <v>1.0</v>
      </c>
      <c r="J66" s="109">
        <f t="shared" si="8"/>
        <v>2000000</v>
      </c>
      <c r="K66" s="4"/>
      <c r="L66" s="110" t="s">
        <v>55</v>
      </c>
      <c r="M66" s="106">
        <v>1500000.0</v>
      </c>
      <c r="N66" s="107">
        <v>1.0</v>
      </c>
      <c r="O66" s="109">
        <f t="shared" si="9"/>
        <v>1500000</v>
      </c>
      <c r="P66" s="1"/>
    </row>
    <row r="67" ht="15.75" hidden="1" customHeight="1">
      <c r="A67" s="1"/>
      <c r="B67" s="110" t="str">
        <f t="shared" ref="B67:B73" si="11">G67</f>
        <v/>
      </c>
      <c r="C67" s="106"/>
      <c r="D67" s="112"/>
      <c r="E67" s="109">
        <v>0.0</v>
      </c>
      <c r="F67" s="66" t="str">
        <f t="shared" ref="F67:F73" si="12">G67</f>
        <v/>
      </c>
      <c r="G67" s="113"/>
      <c r="H67" s="114"/>
      <c r="I67" s="115"/>
      <c r="J67" s="109">
        <f t="shared" si="8"/>
        <v>0</v>
      </c>
      <c r="K67" s="1"/>
      <c r="L67" s="110" t="str">
        <f t="shared" ref="L67:L73" si="13">G67</f>
        <v/>
      </c>
      <c r="M67" s="114"/>
      <c r="N67" s="115"/>
      <c r="O67" s="109">
        <v>0.0</v>
      </c>
      <c r="P67" s="1"/>
    </row>
    <row r="68" ht="15.75" hidden="1" customHeight="1">
      <c r="A68" s="1"/>
      <c r="B68" s="110" t="str">
        <f t="shared" si="11"/>
        <v/>
      </c>
      <c r="C68" s="106"/>
      <c r="D68" s="112"/>
      <c r="E68" s="109">
        <v>0.0</v>
      </c>
      <c r="F68" s="66" t="str">
        <f t="shared" si="12"/>
        <v/>
      </c>
      <c r="G68" s="116"/>
      <c r="H68" s="114"/>
      <c r="I68" s="115"/>
      <c r="J68" s="109">
        <f t="shared" si="8"/>
        <v>0</v>
      </c>
      <c r="K68" s="1"/>
      <c r="L68" s="110" t="str">
        <f t="shared" si="13"/>
        <v/>
      </c>
      <c r="M68" s="114"/>
      <c r="N68" s="115"/>
      <c r="O68" s="109">
        <v>0.0</v>
      </c>
      <c r="P68" s="1"/>
    </row>
    <row r="69" ht="15.75" hidden="1" customHeight="1">
      <c r="A69" s="1"/>
      <c r="B69" s="110" t="str">
        <f t="shared" si="11"/>
        <v/>
      </c>
      <c r="C69" s="114"/>
      <c r="D69" s="115"/>
      <c r="E69" s="109">
        <v>0.0</v>
      </c>
      <c r="F69" s="66" t="str">
        <f t="shared" si="12"/>
        <v/>
      </c>
      <c r="G69" s="113"/>
      <c r="H69" s="114"/>
      <c r="I69" s="115"/>
      <c r="J69" s="109">
        <f t="shared" si="8"/>
        <v>0</v>
      </c>
      <c r="K69" s="1"/>
      <c r="L69" s="110" t="str">
        <f t="shared" si="13"/>
        <v/>
      </c>
      <c r="M69" s="114"/>
      <c r="N69" s="115"/>
      <c r="O69" s="109">
        <v>0.0</v>
      </c>
      <c r="P69" s="1"/>
    </row>
    <row r="70" ht="15.75" hidden="1" customHeight="1">
      <c r="A70" s="1"/>
      <c r="B70" s="110" t="str">
        <f t="shared" si="11"/>
        <v/>
      </c>
      <c r="C70" s="114"/>
      <c r="D70" s="115"/>
      <c r="E70" s="109">
        <v>0.0</v>
      </c>
      <c r="F70" s="66" t="str">
        <f t="shared" si="12"/>
        <v/>
      </c>
      <c r="G70" s="116"/>
      <c r="H70" s="114"/>
      <c r="I70" s="115"/>
      <c r="J70" s="109">
        <f t="shared" si="8"/>
        <v>0</v>
      </c>
      <c r="K70" s="1"/>
      <c r="L70" s="110" t="str">
        <f t="shared" si="13"/>
        <v/>
      </c>
      <c r="M70" s="114"/>
      <c r="N70" s="115"/>
      <c r="O70" s="109">
        <v>0.0</v>
      </c>
      <c r="P70" s="1"/>
    </row>
    <row r="71" ht="15.75" hidden="1" customHeight="1">
      <c r="A71" s="1"/>
      <c r="B71" s="110" t="str">
        <f t="shared" si="11"/>
        <v/>
      </c>
      <c r="C71" s="114"/>
      <c r="D71" s="115"/>
      <c r="E71" s="109">
        <v>0.0</v>
      </c>
      <c r="F71" s="66" t="str">
        <f t="shared" si="12"/>
        <v/>
      </c>
      <c r="G71" s="113"/>
      <c r="H71" s="114"/>
      <c r="I71" s="115"/>
      <c r="J71" s="109">
        <f t="shared" si="8"/>
        <v>0</v>
      </c>
      <c r="K71" s="1"/>
      <c r="L71" s="110" t="str">
        <f t="shared" si="13"/>
        <v/>
      </c>
      <c r="M71" s="114"/>
      <c r="N71" s="115"/>
      <c r="O71" s="109">
        <v>0.0</v>
      </c>
      <c r="P71" s="1"/>
    </row>
    <row r="72" ht="15.75" hidden="1" customHeight="1">
      <c r="A72" s="1"/>
      <c r="B72" s="110" t="str">
        <f t="shared" si="11"/>
        <v/>
      </c>
      <c r="C72" s="114"/>
      <c r="D72" s="117"/>
      <c r="E72" s="109">
        <v>0.0</v>
      </c>
      <c r="F72" s="66" t="str">
        <f t="shared" si="12"/>
        <v/>
      </c>
      <c r="G72" s="113"/>
      <c r="H72" s="114"/>
      <c r="I72" s="117"/>
      <c r="J72" s="109">
        <f t="shared" si="8"/>
        <v>0</v>
      </c>
      <c r="K72" s="1"/>
      <c r="L72" s="110" t="str">
        <f t="shared" si="13"/>
        <v/>
      </c>
      <c r="M72" s="114"/>
      <c r="N72" s="117"/>
      <c r="O72" s="109">
        <v>0.0</v>
      </c>
      <c r="P72" s="1"/>
    </row>
    <row r="73" ht="15.75" hidden="1" customHeight="1">
      <c r="A73" s="1"/>
      <c r="B73" s="118" t="str">
        <f t="shared" si="11"/>
        <v/>
      </c>
      <c r="C73" s="119"/>
      <c r="D73" s="120"/>
      <c r="E73" s="109">
        <v>0.0</v>
      </c>
      <c r="F73" s="66" t="str">
        <f t="shared" si="12"/>
        <v/>
      </c>
      <c r="G73" s="118"/>
      <c r="H73" s="119"/>
      <c r="I73" s="121"/>
      <c r="J73" s="109">
        <f t="shared" si="8"/>
        <v>0</v>
      </c>
      <c r="K73" s="1"/>
      <c r="L73" s="118" t="str">
        <f t="shared" si="13"/>
        <v/>
      </c>
      <c r="M73" s="119"/>
      <c r="N73" s="121"/>
      <c r="O73" s="109">
        <v>0.0</v>
      </c>
      <c r="P73" s="1"/>
    </row>
    <row r="74" ht="18.75" customHeight="1">
      <c r="A74" s="4"/>
      <c r="B74" s="122" t="s">
        <v>56</v>
      </c>
      <c r="C74" s="87"/>
      <c r="D74" s="88"/>
      <c r="E74" s="123">
        <f>SUM(E38:E73)</f>
        <v>31044608</v>
      </c>
      <c r="F74" s="72"/>
      <c r="G74" s="122" t="s">
        <v>56</v>
      </c>
      <c r="H74" s="87"/>
      <c r="I74" s="88"/>
      <c r="J74" s="123">
        <f>SUM(J38:J73)</f>
        <v>32001933</v>
      </c>
      <c r="K74" s="4"/>
      <c r="L74" s="122" t="s">
        <v>56</v>
      </c>
      <c r="M74" s="87"/>
      <c r="N74" s="88"/>
      <c r="O74" s="123">
        <f>SUM(O38:O73)</f>
        <v>34536876</v>
      </c>
      <c r="P74" s="1"/>
    </row>
    <row r="75" ht="15.75" customHeight="1">
      <c r="A75" s="1"/>
      <c r="B75" s="1"/>
      <c r="C75" s="96"/>
      <c r="D75" s="96"/>
      <c r="E75" s="1"/>
      <c r="F75" s="66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23.25" customHeight="1">
      <c r="A76" s="1"/>
      <c r="B76" s="124" t="str">
        <f>'🏦COVER🏦'!D12</f>
        <v>#REF!</v>
      </c>
      <c r="C76" s="125" t="s">
        <v>5</v>
      </c>
      <c r="D76" s="125" t="s">
        <v>6</v>
      </c>
      <c r="E76" s="104" t="s">
        <v>7</v>
      </c>
      <c r="F76" s="66"/>
      <c r="G76" s="102" t="str">
        <f>B76</f>
        <v>#REF!</v>
      </c>
      <c r="H76" s="126" t="s">
        <v>5</v>
      </c>
      <c r="I76" s="126" t="s">
        <v>6</v>
      </c>
      <c r="J76" s="125" t="s">
        <v>7</v>
      </c>
      <c r="K76" s="1"/>
      <c r="L76" s="102" t="str">
        <f>B76</f>
        <v>#REF!</v>
      </c>
      <c r="M76" s="125" t="s">
        <v>5</v>
      </c>
      <c r="N76" s="125" t="s">
        <v>6</v>
      </c>
      <c r="O76" s="125" t="s">
        <v>7</v>
      </c>
      <c r="P76" s="1"/>
    </row>
    <row r="77" ht="13.5" customHeight="1">
      <c r="A77" s="4"/>
      <c r="B77" s="127" t="s">
        <v>57</v>
      </c>
      <c r="C77" s="128">
        <v>13000.0</v>
      </c>
      <c r="D77" s="129">
        <v>2.0</v>
      </c>
      <c r="E77" s="109">
        <f t="shared" ref="E77:E104" si="14">C77*D77</f>
        <v>26000</v>
      </c>
      <c r="F77" s="66" t="str">
        <f t="shared" ref="F77:F84" si="15">G77</f>
        <v>[CC Party] Amplop putih kecil</v>
      </c>
      <c r="G77" s="127" t="s">
        <v>57</v>
      </c>
      <c r="H77" s="128">
        <v>5150.0</v>
      </c>
      <c r="I77" s="129">
        <v>3.0</v>
      </c>
      <c r="J77" s="109">
        <f t="shared" ref="J77:J104" si="16">H77*I77</f>
        <v>15450</v>
      </c>
      <c r="K77" s="4"/>
      <c r="L77" s="127" t="s">
        <v>57</v>
      </c>
      <c r="M77" s="128">
        <v>4500.0</v>
      </c>
      <c r="N77" s="129">
        <v>3.0</v>
      </c>
      <c r="O77" s="130">
        <f t="shared" ref="O77:O104" si="17">M77*N77</f>
        <v>13500</v>
      </c>
      <c r="P77" s="1"/>
    </row>
    <row r="78" ht="13.5" customHeight="1">
      <c r="A78" s="4"/>
      <c r="B78" s="127" t="s">
        <v>58</v>
      </c>
      <c r="C78" s="131">
        <v>17000.0</v>
      </c>
      <c r="D78" s="107">
        <v>5.0</v>
      </c>
      <c r="E78" s="109">
        <f t="shared" si="14"/>
        <v>85000</v>
      </c>
      <c r="F78" s="66" t="str">
        <f t="shared" si="15"/>
        <v>[CC Party] Print puzzle (kertas karton)</v>
      </c>
      <c r="G78" s="127" t="s">
        <v>58</v>
      </c>
      <c r="H78" s="131">
        <v>15000.0</v>
      </c>
      <c r="I78" s="107">
        <v>5.0</v>
      </c>
      <c r="J78" s="109">
        <f t="shared" si="16"/>
        <v>75000</v>
      </c>
      <c r="K78" s="4"/>
      <c r="L78" s="127" t="s">
        <v>58</v>
      </c>
      <c r="M78" s="131">
        <v>10000.0</v>
      </c>
      <c r="N78" s="107">
        <v>5.0</v>
      </c>
      <c r="O78" s="130">
        <f t="shared" si="17"/>
        <v>50000</v>
      </c>
      <c r="P78" s="1"/>
    </row>
    <row r="79" ht="13.5" customHeight="1">
      <c r="A79" s="1"/>
      <c r="B79" s="127" t="s">
        <v>59</v>
      </c>
      <c r="C79" s="131">
        <v>2000.0</v>
      </c>
      <c r="D79" s="107">
        <v>20.0</v>
      </c>
      <c r="E79" s="109">
        <f t="shared" si="14"/>
        <v>40000</v>
      </c>
      <c r="F79" s="66" t="str">
        <f t="shared" si="15"/>
        <v>[CC Party] print card makanan</v>
      </c>
      <c r="G79" s="127" t="s">
        <v>59</v>
      </c>
      <c r="H79" s="131">
        <v>1500.0</v>
      </c>
      <c r="I79" s="107">
        <v>20.0</v>
      </c>
      <c r="J79" s="109">
        <f t="shared" si="16"/>
        <v>30000</v>
      </c>
      <c r="K79" s="4"/>
      <c r="L79" s="127" t="s">
        <v>59</v>
      </c>
      <c r="M79" s="131">
        <v>1000.0</v>
      </c>
      <c r="N79" s="107">
        <v>20.0</v>
      </c>
      <c r="O79" s="130">
        <f t="shared" si="17"/>
        <v>20000</v>
      </c>
      <c r="P79" s="1"/>
    </row>
    <row r="80" ht="13.5" customHeight="1">
      <c r="A80" s="1"/>
      <c r="B80" s="127" t="s">
        <v>60</v>
      </c>
      <c r="C80" s="131">
        <v>8000.0</v>
      </c>
      <c r="D80" s="107">
        <v>1.0</v>
      </c>
      <c r="E80" s="109">
        <f t="shared" si="14"/>
        <v>8000</v>
      </c>
      <c r="F80" s="66" t="str">
        <f t="shared" si="15"/>
        <v>[CC Party] Jahe</v>
      </c>
      <c r="G80" s="127" t="s">
        <v>60</v>
      </c>
      <c r="H80" s="131">
        <v>7000.0</v>
      </c>
      <c r="I80" s="107">
        <v>1.0</v>
      </c>
      <c r="J80" s="109">
        <f t="shared" si="16"/>
        <v>7000</v>
      </c>
      <c r="K80" s="1"/>
      <c r="L80" s="127" t="s">
        <v>60</v>
      </c>
      <c r="M80" s="131">
        <v>5000.0</v>
      </c>
      <c r="N80" s="107">
        <v>1.0</v>
      </c>
      <c r="O80" s="130">
        <f t="shared" si="17"/>
        <v>5000</v>
      </c>
      <c r="P80" s="1"/>
    </row>
    <row r="81" ht="13.5" customHeight="1">
      <c r="A81" s="1"/>
      <c r="B81" s="127" t="s">
        <v>61</v>
      </c>
      <c r="C81" s="131">
        <v>8000.0</v>
      </c>
      <c r="D81" s="107">
        <v>1.0</v>
      </c>
      <c r="E81" s="109">
        <f t="shared" si="14"/>
        <v>8000</v>
      </c>
      <c r="F81" s="66" t="str">
        <f t="shared" si="15"/>
        <v>[CC Party] Kunyit </v>
      </c>
      <c r="G81" s="127" t="s">
        <v>61</v>
      </c>
      <c r="H81" s="131">
        <v>7000.0</v>
      </c>
      <c r="I81" s="107">
        <v>1.0</v>
      </c>
      <c r="J81" s="109">
        <f t="shared" si="16"/>
        <v>7000</v>
      </c>
      <c r="K81" s="1"/>
      <c r="L81" s="127" t="s">
        <v>61</v>
      </c>
      <c r="M81" s="131">
        <v>5000.0</v>
      </c>
      <c r="N81" s="107">
        <v>1.0</v>
      </c>
      <c r="O81" s="130">
        <f t="shared" si="17"/>
        <v>5000</v>
      </c>
      <c r="P81" s="1"/>
    </row>
    <row r="82" ht="13.5" customHeight="1">
      <c r="A82" s="1"/>
      <c r="B82" s="127" t="s">
        <v>62</v>
      </c>
      <c r="C82" s="131">
        <v>8000.0</v>
      </c>
      <c r="D82" s="107">
        <v>1.0</v>
      </c>
      <c r="E82" s="109">
        <f t="shared" si="14"/>
        <v>8000</v>
      </c>
      <c r="F82" s="66" t="str">
        <f t="shared" si="15"/>
        <v>[CC Party] Lengkuas/Laos</v>
      </c>
      <c r="G82" s="127" t="s">
        <v>62</v>
      </c>
      <c r="H82" s="131">
        <v>7000.0</v>
      </c>
      <c r="I82" s="107">
        <v>1.0</v>
      </c>
      <c r="J82" s="109">
        <f t="shared" si="16"/>
        <v>7000</v>
      </c>
      <c r="K82" s="1"/>
      <c r="L82" s="127" t="s">
        <v>62</v>
      </c>
      <c r="M82" s="131">
        <v>5000.0</v>
      </c>
      <c r="N82" s="107">
        <v>1.0</v>
      </c>
      <c r="O82" s="130">
        <f t="shared" si="17"/>
        <v>5000</v>
      </c>
      <c r="P82" s="1"/>
    </row>
    <row r="83" ht="13.5" customHeight="1">
      <c r="A83" s="1"/>
      <c r="B83" s="127" t="s">
        <v>63</v>
      </c>
      <c r="C83" s="131">
        <v>10000.0</v>
      </c>
      <c r="D83" s="107">
        <v>1.0</v>
      </c>
      <c r="E83" s="109">
        <f t="shared" si="14"/>
        <v>10000</v>
      </c>
      <c r="F83" s="66" t="str">
        <f t="shared" si="15"/>
        <v>[CC Party] Kencur</v>
      </c>
      <c r="G83" s="127" t="s">
        <v>63</v>
      </c>
      <c r="H83" s="131">
        <v>8000.0</v>
      </c>
      <c r="I83" s="107">
        <v>1.0</v>
      </c>
      <c r="J83" s="109">
        <f t="shared" si="16"/>
        <v>8000</v>
      </c>
      <c r="K83" s="1"/>
      <c r="L83" s="127" t="s">
        <v>63</v>
      </c>
      <c r="M83" s="131">
        <v>5000.0</v>
      </c>
      <c r="N83" s="107">
        <v>1.0</v>
      </c>
      <c r="O83" s="130">
        <f t="shared" si="17"/>
        <v>5000</v>
      </c>
      <c r="P83" s="1"/>
    </row>
    <row r="84" ht="13.5" customHeight="1">
      <c r="A84" s="1"/>
      <c r="B84" s="127" t="s">
        <v>64</v>
      </c>
      <c r="C84" s="131">
        <v>8000.0</v>
      </c>
      <c r="D84" s="112">
        <v>1.0</v>
      </c>
      <c r="E84" s="109">
        <f t="shared" si="14"/>
        <v>8000</v>
      </c>
      <c r="F84" s="66" t="str">
        <f t="shared" si="15"/>
        <v>[CC Party] Serai/Sereh </v>
      </c>
      <c r="G84" s="127" t="s">
        <v>64</v>
      </c>
      <c r="H84" s="131">
        <v>7000.0</v>
      </c>
      <c r="I84" s="112">
        <v>1.0</v>
      </c>
      <c r="J84" s="109">
        <f t="shared" si="16"/>
        <v>7000</v>
      </c>
      <c r="K84" s="1"/>
      <c r="L84" s="127" t="s">
        <v>64</v>
      </c>
      <c r="M84" s="131">
        <v>5000.0</v>
      </c>
      <c r="N84" s="112">
        <v>1.0</v>
      </c>
      <c r="O84" s="130">
        <f t="shared" si="17"/>
        <v>5000</v>
      </c>
      <c r="P84" s="1"/>
    </row>
    <row r="85" ht="13.5" customHeight="1">
      <c r="A85" s="1"/>
      <c r="B85" s="127" t="s">
        <v>65</v>
      </c>
      <c r="C85" s="131">
        <v>7500.0</v>
      </c>
      <c r="D85" s="112">
        <v>1.0</v>
      </c>
      <c r="E85" s="109">
        <f t="shared" si="14"/>
        <v>7500</v>
      </c>
      <c r="F85" s="66"/>
      <c r="G85" s="127" t="s">
        <v>65</v>
      </c>
      <c r="H85" s="131">
        <v>5000.0</v>
      </c>
      <c r="I85" s="112">
        <v>1.0</v>
      </c>
      <c r="J85" s="109">
        <f t="shared" si="16"/>
        <v>5000</v>
      </c>
      <c r="K85" s="1"/>
      <c r="L85" s="127" t="s">
        <v>65</v>
      </c>
      <c r="M85" s="131">
        <v>3000.0</v>
      </c>
      <c r="N85" s="112">
        <v>1.0</v>
      </c>
      <c r="O85" s="130">
        <f t="shared" si="17"/>
        <v>3000</v>
      </c>
      <c r="P85" s="1"/>
    </row>
    <row r="86" ht="13.5" customHeight="1">
      <c r="A86" s="1"/>
      <c r="B86" s="127" t="s">
        <v>66</v>
      </c>
      <c r="C86" s="132">
        <v>20000.0</v>
      </c>
      <c r="D86" s="112">
        <v>1.0</v>
      </c>
      <c r="E86" s="109">
        <f t="shared" si="14"/>
        <v>20000</v>
      </c>
      <c r="F86" s="66" t="str">
        <f>G86</f>
        <v>[CC Party] Kayu manis</v>
      </c>
      <c r="G86" s="127" t="s">
        <v>66</v>
      </c>
      <c r="H86" s="132">
        <v>15000.0</v>
      </c>
      <c r="I86" s="112">
        <v>1.0</v>
      </c>
      <c r="J86" s="109">
        <f t="shared" si="16"/>
        <v>15000</v>
      </c>
      <c r="K86" s="1"/>
      <c r="L86" s="127" t="s">
        <v>66</v>
      </c>
      <c r="M86" s="132">
        <v>10000.0</v>
      </c>
      <c r="N86" s="112">
        <v>1.0</v>
      </c>
      <c r="O86" s="130">
        <f t="shared" si="17"/>
        <v>10000</v>
      </c>
      <c r="P86" s="1"/>
    </row>
    <row r="87" ht="13.5" customHeight="1">
      <c r="A87" s="1"/>
      <c r="B87" s="127" t="s">
        <v>67</v>
      </c>
      <c r="C87" s="132">
        <v>7500.0</v>
      </c>
      <c r="D87" s="112">
        <v>1.0</v>
      </c>
      <c r="E87" s="109">
        <f t="shared" si="14"/>
        <v>7500</v>
      </c>
      <c r="F87" s="66"/>
      <c r="G87" s="127" t="s">
        <v>67</v>
      </c>
      <c r="H87" s="132">
        <v>6000.0</v>
      </c>
      <c r="I87" s="112">
        <v>1.0</v>
      </c>
      <c r="J87" s="109">
        <f t="shared" si="16"/>
        <v>6000</v>
      </c>
      <c r="K87" s="1"/>
      <c r="L87" s="127" t="s">
        <v>67</v>
      </c>
      <c r="M87" s="132">
        <v>4000.0</v>
      </c>
      <c r="N87" s="112">
        <v>1.0</v>
      </c>
      <c r="O87" s="130">
        <f t="shared" si="17"/>
        <v>4000</v>
      </c>
      <c r="P87" s="1"/>
    </row>
    <row r="88" ht="13.5" customHeight="1">
      <c r="A88" s="1"/>
      <c r="B88" s="127" t="s">
        <v>68</v>
      </c>
      <c r="C88" s="132">
        <v>9000.0</v>
      </c>
      <c r="D88" s="112">
        <v>1.0</v>
      </c>
      <c r="E88" s="109">
        <f t="shared" si="14"/>
        <v>9000</v>
      </c>
      <c r="F88" s="66"/>
      <c r="G88" s="127" t="s">
        <v>68</v>
      </c>
      <c r="H88" s="132">
        <v>7000.0</v>
      </c>
      <c r="I88" s="112">
        <v>1.0</v>
      </c>
      <c r="J88" s="109">
        <f t="shared" si="16"/>
        <v>7000</v>
      </c>
      <c r="K88" s="1"/>
      <c r="L88" s="127" t="s">
        <v>68</v>
      </c>
      <c r="M88" s="132">
        <v>4000.0</v>
      </c>
      <c r="N88" s="112">
        <v>1.0</v>
      </c>
      <c r="O88" s="130">
        <f t="shared" si="17"/>
        <v>4000</v>
      </c>
      <c r="P88" s="1"/>
    </row>
    <row r="89" ht="13.5" customHeight="1">
      <c r="A89" s="1"/>
      <c r="B89" s="127" t="s">
        <v>69</v>
      </c>
      <c r="C89" s="132">
        <v>7000.0</v>
      </c>
      <c r="D89" s="112">
        <v>1.0</v>
      </c>
      <c r="E89" s="109">
        <f t="shared" si="14"/>
        <v>7000</v>
      </c>
      <c r="F89" s="66"/>
      <c r="G89" s="127" t="s">
        <v>69</v>
      </c>
      <c r="H89" s="132">
        <v>5000.0</v>
      </c>
      <c r="I89" s="112">
        <v>1.0</v>
      </c>
      <c r="J89" s="109">
        <f t="shared" si="16"/>
        <v>5000</v>
      </c>
      <c r="K89" s="1"/>
      <c r="L89" s="127" t="s">
        <v>69</v>
      </c>
      <c r="M89" s="132">
        <v>3000.0</v>
      </c>
      <c r="N89" s="112">
        <v>1.0</v>
      </c>
      <c r="O89" s="130">
        <f t="shared" si="17"/>
        <v>3000</v>
      </c>
      <c r="P89" s="1"/>
    </row>
    <row r="90" ht="13.5" customHeight="1">
      <c r="A90" s="1"/>
      <c r="B90" s="127" t="s">
        <v>70</v>
      </c>
      <c r="C90" s="132">
        <v>5000.0</v>
      </c>
      <c r="D90" s="112">
        <v>4.0</v>
      </c>
      <c r="E90" s="109">
        <f t="shared" si="14"/>
        <v>20000</v>
      </c>
      <c r="F90" s="66"/>
      <c r="G90" s="127" t="s">
        <v>70</v>
      </c>
      <c r="H90" s="132">
        <v>4000.0</v>
      </c>
      <c r="I90" s="112">
        <v>4.0</v>
      </c>
      <c r="J90" s="109">
        <f t="shared" si="16"/>
        <v>16000</v>
      </c>
      <c r="K90" s="1"/>
      <c r="L90" s="127" t="s">
        <v>70</v>
      </c>
      <c r="M90" s="132">
        <v>3000.0</v>
      </c>
      <c r="N90" s="112">
        <v>4.0</v>
      </c>
      <c r="O90" s="130">
        <f t="shared" si="17"/>
        <v>12000</v>
      </c>
      <c r="P90" s="1"/>
    </row>
    <row r="91" ht="13.5" customHeight="1">
      <c r="A91" s="1"/>
      <c r="B91" s="127" t="s">
        <v>71</v>
      </c>
      <c r="C91" s="132">
        <v>65000.0</v>
      </c>
      <c r="D91" s="112">
        <v>4.0</v>
      </c>
      <c r="E91" s="109">
        <f t="shared" si="14"/>
        <v>260000</v>
      </c>
      <c r="F91" s="66"/>
      <c r="G91" s="127" t="s">
        <v>71</v>
      </c>
      <c r="H91" s="132">
        <v>50000.0</v>
      </c>
      <c r="I91" s="112">
        <v>4.0</v>
      </c>
      <c r="J91" s="109">
        <f t="shared" si="16"/>
        <v>200000</v>
      </c>
      <c r="K91" s="1"/>
      <c r="L91" s="127" t="s">
        <v>71</v>
      </c>
      <c r="M91" s="132">
        <v>40000.0</v>
      </c>
      <c r="N91" s="112">
        <v>4.0</v>
      </c>
      <c r="O91" s="130">
        <f t="shared" si="17"/>
        <v>160000</v>
      </c>
      <c r="P91" s="1"/>
    </row>
    <row r="92" ht="13.5" customHeight="1">
      <c r="A92" s="1"/>
      <c r="B92" s="127" t="s">
        <v>72</v>
      </c>
      <c r="C92" s="132">
        <v>700000.0</v>
      </c>
      <c r="D92" s="112">
        <v>1.0</v>
      </c>
      <c r="E92" s="109">
        <f t="shared" si="14"/>
        <v>700000</v>
      </c>
      <c r="F92" s="66"/>
      <c r="G92" s="127" t="s">
        <v>72</v>
      </c>
      <c r="H92" s="132">
        <v>500000.0</v>
      </c>
      <c r="I92" s="112">
        <v>1.0</v>
      </c>
      <c r="J92" s="109">
        <f t="shared" si="16"/>
        <v>500000</v>
      </c>
      <c r="K92" s="1"/>
      <c r="L92" s="127" t="s">
        <v>72</v>
      </c>
      <c r="M92" s="132">
        <v>400000.0</v>
      </c>
      <c r="N92" s="112">
        <v>1.0</v>
      </c>
      <c r="O92" s="130">
        <f t="shared" si="17"/>
        <v>400000</v>
      </c>
      <c r="P92" s="1"/>
    </row>
    <row r="93" ht="13.5" customHeight="1">
      <c r="A93" s="1"/>
      <c r="B93" s="127" t="s">
        <v>73</v>
      </c>
      <c r="C93" s="132">
        <v>5000.0</v>
      </c>
      <c r="D93" s="112">
        <v>2.0</v>
      </c>
      <c r="E93" s="109">
        <f t="shared" si="14"/>
        <v>10000</v>
      </c>
      <c r="F93" s="66"/>
      <c r="G93" s="127" t="s">
        <v>73</v>
      </c>
      <c r="H93" s="132">
        <v>4000.0</v>
      </c>
      <c r="I93" s="112">
        <v>2.0</v>
      </c>
      <c r="J93" s="109">
        <f t="shared" si="16"/>
        <v>8000</v>
      </c>
      <c r="K93" s="1"/>
      <c r="L93" s="127" t="s">
        <v>73</v>
      </c>
      <c r="M93" s="132">
        <v>3000.0</v>
      </c>
      <c r="N93" s="112">
        <v>2.0</v>
      </c>
      <c r="O93" s="130">
        <f t="shared" si="17"/>
        <v>6000</v>
      </c>
      <c r="P93" s="1"/>
    </row>
    <row r="94" ht="13.5" customHeight="1">
      <c r="A94" s="1"/>
      <c r="B94" s="127" t="s">
        <v>74</v>
      </c>
      <c r="C94" s="132">
        <v>10000.0</v>
      </c>
      <c r="D94" s="112">
        <v>4.0</v>
      </c>
      <c r="E94" s="109">
        <f t="shared" si="14"/>
        <v>40000</v>
      </c>
      <c r="F94" s="66"/>
      <c r="G94" s="127" t="s">
        <v>74</v>
      </c>
      <c r="H94" s="132">
        <v>8000.0</v>
      </c>
      <c r="I94" s="112">
        <v>3.0</v>
      </c>
      <c r="J94" s="109">
        <f t="shared" si="16"/>
        <v>24000</v>
      </c>
      <c r="K94" s="1"/>
      <c r="L94" s="127" t="s">
        <v>74</v>
      </c>
      <c r="M94" s="132">
        <v>6500.0</v>
      </c>
      <c r="N94" s="112">
        <v>2.0</v>
      </c>
      <c r="O94" s="130">
        <f t="shared" si="17"/>
        <v>13000</v>
      </c>
      <c r="P94" s="1"/>
    </row>
    <row r="95" ht="13.5" customHeight="1">
      <c r="A95" s="1"/>
      <c r="B95" s="127" t="s">
        <v>75</v>
      </c>
      <c r="C95" s="132">
        <v>11000.0</v>
      </c>
      <c r="D95" s="112">
        <v>4.0</v>
      </c>
      <c r="E95" s="109">
        <f t="shared" si="14"/>
        <v>44000</v>
      </c>
      <c r="F95" s="66"/>
      <c r="G95" s="127" t="s">
        <v>75</v>
      </c>
      <c r="H95" s="132">
        <v>11000.0</v>
      </c>
      <c r="I95" s="112">
        <v>3.0</v>
      </c>
      <c r="J95" s="109">
        <f t="shared" si="16"/>
        <v>33000</v>
      </c>
      <c r="K95" s="1"/>
      <c r="L95" s="127" t="s">
        <v>75</v>
      </c>
      <c r="M95" s="132">
        <v>11000.0</v>
      </c>
      <c r="N95" s="112">
        <v>2.0</v>
      </c>
      <c r="O95" s="130">
        <f t="shared" si="17"/>
        <v>22000</v>
      </c>
      <c r="P95" s="1"/>
    </row>
    <row r="96" ht="13.5" customHeight="1">
      <c r="A96" s="1"/>
      <c r="B96" s="127" t="s">
        <v>76</v>
      </c>
      <c r="C96" s="132">
        <v>11000.0</v>
      </c>
      <c r="D96" s="112">
        <v>4.0</v>
      </c>
      <c r="E96" s="109">
        <f t="shared" si="14"/>
        <v>44000</v>
      </c>
      <c r="F96" s="66"/>
      <c r="G96" s="127" t="s">
        <v>76</v>
      </c>
      <c r="H96" s="132">
        <v>11000.0</v>
      </c>
      <c r="I96" s="112">
        <v>3.0</v>
      </c>
      <c r="J96" s="109">
        <f t="shared" si="16"/>
        <v>33000</v>
      </c>
      <c r="K96" s="1"/>
      <c r="L96" s="127" t="s">
        <v>76</v>
      </c>
      <c r="M96" s="132">
        <v>11000.0</v>
      </c>
      <c r="N96" s="112">
        <v>2.0</v>
      </c>
      <c r="O96" s="130">
        <f t="shared" si="17"/>
        <v>22000</v>
      </c>
      <c r="P96" s="1"/>
    </row>
    <row r="97" ht="13.5" customHeight="1">
      <c r="A97" s="1"/>
      <c r="B97" s="127" t="s">
        <v>77</v>
      </c>
      <c r="C97" s="132">
        <v>11000.0</v>
      </c>
      <c r="D97" s="112">
        <v>4.0</v>
      </c>
      <c r="E97" s="109">
        <f t="shared" si="14"/>
        <v>44000</v>
      </c>
      <c r="F97" s="66"/>
      <c r="G97" s="127" t="s">
        <v>77</v>
      </c>
      <c r="H97" s="132">
        <v>11000.0</v>
      </c>
      <c r="I97" s="112">
        <v>3.0</v>
      </c>
      <c r="J97" s="109">
        <f t="shared" si="16"/>
        <v>33000</v>
      </c>
      <c r="K97" s="1"/>
      <c r="L97" s="127" t="s">
        <v>77</v>
      </c>
      <c r="M97" s="132">
        <v>11000.0</v>
      </c>
      <c r="N97" s="112">
        <v>2.0</v>
      </c>
      <c r="O97" s="130">
        <f t="shared" si="17"/>
        <v>22000</v>
      </c>
      <c r="P97" s="1"/>
    </row>
    <row r="98" ht="13.5" customHeight="1">
      <c r="A98" s="1"/>
      <c r="B98" s="127" t="s">
        <v>78</v>
      </c>
      <c r="C98" s="132">
        <v>11000.0</v>
      </c>
      <c r="D98" s="112">
        <v>4.0</v>
      </c>
      <c r="E98" s="109">
        <f t="shared" si="14"/>
        <v>44000</v>
      </c>
      <c r="F98" s="66"/>
      <c r="G98" s="127" t="s">
        <v>78</v>
      </c>
      <c r="H98" s="132">
        <v>11000.0</v>
      </c>
      <c r="I98" s="112">
        <v>3.0</v>
      </c>
      <c r="J98" s="109">
        <f t="shared" si="16"/>
        <v>33000</v>
      </c>
      <c r="K98" s="1"/>
      <c r="L98" s="127" t="s">
        <v>78</v>
      </c>
      <c r="M98" s="132">
        <v>11000.0</v>
      </c>
      <c r="N98" s="112">
        <v>2.0</v>
      </c>
      <c r="O98" s="130">
        <f t="shared" si="17"/>
        <v>22000</v>
      </c>
      <c r="P98" s="1"/>
    </row>
    <row r="99" ht="13.5" customHeight="1">
      <c r="A99" s="1"/>
      <c r="B99" s="127" t="s">
        <v>79</v>
      </c>
      <c r="C99" s="132">
        <v>27000.0</v>
      </c>
      <c r="D99" s="112">
        <v>4.0</v>
      </c>
      <c r="E99" s="109">
        <f t="shared" si="14"/>
        <v>108000</v>
      </c>
      <c r="F99" s="66"/>
      <c r="G99" s="127" t="s">
        <v>79</v>
      </c>
      <c r="H99" s="132">
        <v>22000.0</v>
      </c>
      <c r="I99" s="112">
        <v>3.0</v>
      </c>
      <c r="J99" s="109">
        <f t="shared" si="16"/>
        <v>66000</v>
      </c>
      <c r="K99" s="1"/>
      <c r="L99" s="127" t="s">
        <v>79</v>
      </c>
      <c r="M99" s="132">
        <v>17000.0</v>
      </c>
      <c r="N99" s="112">
        <v>2.0</v>
      </c>
      <c r="O99" s="130">
        <f t="shared" si="17"/>
        <v>34000</v>
      </c>
      <c r="P99" s="1"/>
    </row>
    <row r="100" ht="13.5" customHeight="1">
      <c r="A100" s="1"/>
      <c r="B100" s="127" t="s">
        <v>80</v>
      </c>
      <c r="C100" s="132">
        <v>2000.0</v>
      </c>
      <c r="D100" s="112">
        <v>16.0</v>
      </c>
      <c r="E100" s="109">
        <f t="shared" si="14"/>
        <v>32000</v>
      </c>
      <c r="F100" s="66"/>
      <c r="G100" s="127" t="s">
        <v>80</v>
      </c>
      <c r="H100" s="132">
        <v>1650.0</v>
      </c>
      <c r="I100" s="112">
        <v>12.0</v>
      </c>
      <c r="J100" s="109">
        <f t="shared" si="16"/>
        <v>19800</v>
      </c>
      <c r="K100" s="1"/>
      <c r="L100" s="127" t="s">
        <v>80</v>
      </c>
      <c r="M100" s="132">
        <v>1287.0</v>
      </c>
      <c r="N100" s="112">
        <v>8.0</v>
      </c>
      <c r="O100" s="130">
        <f t="shared" si="17"/>
        <v>10296</v>
      </c>
      <c r="P100" s="1"/>
    </row>
    <row r="101" ht="13.5" customHeight="1">
      <c r="A101" s="1"/>
      <c r="B101" s="127" t="s">
        <v>81</v>
      </c>
      <c r="C101" s="132">
        <v>60000.0</v>
      </c>
      <c r="D101" s="112">
        <v>4.0</v>
      </c>
      <c r="E101" s="109">
        <f t="shared" si="14"/>
        <v>240000</v>
      </c>
      <c r="F101" s="66"/>
      <c r="G101" s="127" t="s">
        <v>81</v>
      </c>
      <c r="H101" s="132">
        <v>50000.0</v>
      </c>
      <c r="I101" s="112">
        <v>3.0</v>
      </c>
      <c r="J101" s="109">
        <f t="shared" si="16"/>
        <v>150000</v>
      </c>
      <c r="K101" s="1"/>
      <c r="L101" s="127" t="s">
        <v>81</v>
      </c>
      <c r="M101" s="132">
        <v>35000.0</v>
      </c>
      <c r="N101" s="112">
        <v>2.0</v>
      </c>
      <c r="O101" s="130">
        <f t="shared" si="17"/>
        <v>70000</v>
      </c>
      <c r="P101" s="1"/>
    </row>
    <row r="102" ht="13.5" customHeight="1">
      <c r="A102" s="1"/>
      <c r="B102" s="127" t="s">
        <v>82</v>
      </c>
      <c r="C102" s="132">
        <v>9600.0</v>
      </c>
      <c r="D102" s="112">
        <v>2.0</v>
      </c>
      <c r="E102" s="109">
        <f t="shared" si="14"/>
        <v>19200</v>
      </c>
      <c r="F102" s="66"/>
      <c r="G102" s="127" t="s">
        <v>82</v>
      </c>
      <c r="H102" s="132">
        <v>6749.0</v>
      </c>
      <c r="I102" s="112">
        <v>2.0</v>
      </c>
      <c r="J102" s="109">
        <f t="shared" si="16"/>
        <v>13498</v>
      </c>
      <c r="K102" s="1"/>
      <c r="L102" s="127" t="s">
        <v>82</v>
      </c>
      <c r="M102" s="132">
        <v>6620.0</v>
      </c>
      <c r="N102" s="112">
        <v>2.0</v>
      </c>
      <c r="O102" s="130">
        <f t="shared" si="17"/>
        <v>13240</v>
      </c>
      <c r="P102" s="1"/>
    </row>
    <row r="103" ht="13.5" customHeight="1">
      <c r="A103" s="1"/>
      <c r="B103" s="127" t="s">
        <v>83</v>
      </c>
      <c r="C103" s="132">
        <v>500.0</v>
      </c>
      <c r="D103" s="32">
        <v>323.0</v>
      </c>
      <c r="E103" s="109">
        <f t="shared" si="14"/>
        <v>161500</v>
      </c>
      <c r="F103" s="66"/>
      <c r="G103" s="127" t="s">
        <v>83</v>
      </c>
      <c r="H103" s="132">
        <v>300.0</v>
      </c>
      <c r="I103" s="112">
        <v>325.0</v>
      </c>
      <c r="J103" s="109">
        <f t="shared" si="16"/>
        <v>97500</v>
      </c>
      <c r="K103" s="1"/>
      <c r="L103" s="127" t="s">
        <v>83</v>
      </c>
      <c r="M103" s="132">
        <v>150.0</v>
      </c>
      <c r="N103" s="107">
        <v>330.0</v>
      </c>
      <c r="O103" s="130">
        <f t="shared" si="17"/>
        <v>49500</v>
      </c>
      <c r="P103" s="1"/>
    </row>
    <row r="104" ht="13.5" customHeight="1">
      <c r="A104" s="1"/>
      <c r="B104" s="127" t="s">
        <v>84</v>
      </c>
      <c r="C104" s="132">
        <v>50000.0</v>
      </c>
      <c r="D104" s="112">
        <v>1.0</v>
      </c>
      <c r="E104" s="109">
        <f t="shared" si="14"/>
        <v>50000</v>
      </c>
      <c r="F104" s="66" t="str">
        <f>G104</f>
        <v> Printing Placard NLF &amp; NLM</v>
      </c>
      <c r="G104" s="127" t="s">
        <v>84</v>
      </c>
      <c r="H104" s="132">
        <v>40000.0</v>
      </c>
      <c r="I104" s="112">
        <v>1.0</v>
      </c>
      <c r="J104" s="109">
        <f t="shared" si="16"/>
        <v>40000</v>
      </c>
      <c r="K104" s="1"/>
      <c r="L104" s="127" t="s">
        <v>84</v>
      </c>
      <c r="M104" s="132">
        <v>35000.0</v>
      </c>
      <c r="N104" s="112">
        <v>1.0</v>
      </c>
      <c r="O104" s="130">
        <f t="shared" si="17"/>
        <v>35000</v>
      </c>
      <c r="P104" s="1"/>
    </row>
    <row r="105" ht="18.75" customHeight="1">
      <c r="A105" s="4"/>
      <c r="B105" s="122" t="s">
        <v>56</v>
      </c>
      <c r="C105" s="87"/>
      <c r="D105" s="88"/>
      <c r="E105" s="123">
        <f>SUM(E77:E104)</f>
        <v>2060700</v>
      </c>
      <c r="F105" s="133" t="s">
        <v>85</v>
      </c>
      <c r="G105" s="122" t="s">
        <v>56</v>
      </c>
      <c r="H105" s="87"/>
      <c r="I105" s="88"/>
      <c r="J105" s="123">
        <f>SUM(J80:J104)</f>
        <v>1340798</v>
      </c>
      <c r="K105" s="4"/>
      <c r="L105" s="122" t="s">
        <v>56</v>
      </c>
      <c r="M105" s="87"/>
      <c r="N105" s="88"/>
      <c r="O105" s="123">
        <f>SUM(O80:O104)</f>
        <v>940036</v>
      </c>
      <c r="P105" s="1"/>
    </row>
    <row r="106" ht="15.0" customHeight="1">
      <c r="A106" s="1"/>
      <c r="B106" s="1"/>
      <c r="C106" s="96"/>
      <c r="D106" s="96"/>
      <c r="E106" s="1"/>
      <c r="F106" s="66"/>
      <c r="G106" s="96"/>
      <c r="H106" s="96"/>
      <c r="I106" s="96"/>
      <c r="J106" s="96"/>
      <c r="K106" s="1"/>
      <c r="L106" s="96"/>
      <c r="M106" s="96"/>
      <c r="N106" s="96"/>
      <c r="O106" s="96"/>
      <c r="P106" s="1"/>
    </row>
    <row r="107" ht="24.0" customHeight="1">
      <c r="A107" s="1"/>
      <c r="B107" s="102" t="str">
        <f>'🏦COVER🏦'!D13</f>
        <v>#REF!</v>
      </c>
      <c r="C107" s="103" t="s">
        <v>5</v>
      </c>
      <c r="D107" s="103" t="s">
        <v>6</v>
      </c>
      <c r="E107" s="104" t="s">
        <v>7</v>
      </c>
      <c r="F107" s="72"/>
      <c r="G107" s="134" t="str">
        <f>B107</f>
        <v>#REF!</v>
      </c>
      <c r="H107" s="103" t="s">
        <v>5</v>
      </c>
      <c r="I107" s="103" t="s">
        <v>6</v>
      </c>
      <c r="J107" s="103" t="s">
        <v>7</v>
      </c>
      <c r="K107" s="16"/>
      <c r="L107" s="134" t="str">
        <f>B107</f>
        <v>#REF!</v>
      </c>
      <c r="M107" s="103" t="s">
        <v>5</v>
      </c>
      <c r="N107" s="103" t="s">
        <v>6</v>
      </c>
      <c r="O107" s="103" t="s">
        <v>7</v>
      </c>
      <c r="P107" s="135"/>
    </row>
    <row r="108" ht="15.75" customHeight="1">
      <c r="A108" s="4"/>
      <c r="B108" s="105" t="s">
        <v>86</v>
      </c>
      <c r="C108" s="131">
        <v>1349.0</v>
      </c>
      <c r="D108" s="32">
        <v>323.0</v>
      </c>
      <c r="E108" s="108">
        <f t="shared" ref="E108:E126" si="18">C108*D108</f>
        <v>435727</v>
      </c>
      <c r="F108" s="72" t="str">
        <f t="shared" ref="F108:F116" si="19">G108</f>
        <v>Delegates ID Card</v>
      </c>
      <c r="G108" s="105" t="s">
        <v>86</v>
      </c>
      <c r="H108" s="136">
        <v>955.0</v>
      </c>
      <c r="I108" s="112"/>
      <c r="J108" s="137">
        <f t="shared" ref="J108:J126" si="20">H108*I108</f>
        <v>0</v>
      </c>
      <c r="K108" s="16"/>
      <c r="L108" s="105" t="s">
        <v>86</v>
      </c>
      <c r="M108" s="136">
        <v>952.0</v>
      </c>
      <c r="N108" s="107">
        <v>330.0</v>
      </c>
      <c r="O108" s="137">
        <f t="shared" ref="O108:O126" si="21">M108*N108</f>
        <v>314160</v>
      </c>
      <c r="P108" s="100"/>
    </row>
    <row r="109" ht="15.75" customHeight="1">
      <c r="A109" s="1"/>
      <c r="B109" s="110" t="s">
        <v>87</v>
      </c>
      <c r="C109" s="131">
        <v>27660.0</v>
      </c>
      <c r="D109" s="107">
        <v>4.0</v>
      </c>
      <c r="E109" s="111">
        <f t="shared" si="18"/>
        <v>110640</v>
      </c>
      <c r="F109" s="66" t="str">
        <f t="shared" si="19"/>
        <v>Sugarcubes Envelope (100 pcs)</v>
      </c>
      <c r="G109" s="110" t="s">
        <v>87</v>
      </c>
      <c r="H109" s="131">
        <v>22500.0</v>
      </c>
      <c r="I109" s="107">
        <v>4.0</v>
      </c>
      <c r="J109" s="111">
        <f t="shared" si="20"/>
        <v>90000</v>
      </c>
      <c r="K109" s="4"/>
      <c r="L109" s="110" t="s">
        <v>87</v>
      </c>
      <c r="M109" s="131">
        <v>22000.0</v>
      </c>
      <c r="N109" s="107">
        <v>4.0</v>
      </c>
      <c r="O109" s="111">
        <f t="shared" si="21"/>
        <v>88000</v>
      </c>
      <c r="P109" s="1"/>
    </row>
    <row r="110" ht="15.75" customHeight="1">
      <c r="A110" s="1"/>
      <c r="B110" s="110" t="s">
        <v>88</v>
      </c>
      <c r="C110" s="131">
        <v>10000.0</v>
      </c>
      <c r="D110" s="32">
        <v>323.0</v>
      </c>
      <c r="E110" s="111">
        <f t="shared" si="18"/>
        <v>3230000</v>
      </c>
      <c r="F110" s="66" t="str">
        <f t="shared" si="19"/>
        <v>Delegates Kit</v>
      </c>
      <c r="G110" s="110" t="s">
        <v>88</v>
      </c>
      <c r="H110" s="131">
        <v>3000.0</v>
      </c>
      <c r="I110" s="112">
        <v>300.0</v>
      </c>
      <c r="J110" s="111">
        <f t="shared" si="20"/>
        <v>900000</v>
      </c>
      <c r="K110" s="1"/>
      <c r="L110" s="110" t="s">
        <v>88</v>
      </c>
      <c r="M110" s="131">
        <v>5000.0</v>
      </c>
      <c r="N110" s="107">
        <v>330.0</v>
      </c>
      <c r="O110" s="111">
        <f t="shared" si="21"/>
        <v>1650000</v>
      </c>
      <c r="P110" s="1"/>
    </row>
    <row r="111" ht="15.75" customHeight="1">
      <c r="A111" s="1"/>
      <c r="B111" s="110" t="s">
        <v>89</v>
      </c>
      <c r="C111" s="131">
        <v>11681.0</v>
      </c>
      <c r="D111" s="107">
        <v>1.0</v>
      </c>
      <c r="E111" s="111">
        <f t="shared" si="18"/>
        <v>11681</v>
      </c>
      <c r="F111" s="66" t="str">
        <f t="shared" si="19"/>
        <v>[Medicine] Mylanta </v>
      </c>
      <c r="G111" s="110" t="s">
        <v>89</v>
      </c>
      <c r="H111" s="131">
        <v>10700.0</v>
      </c>
      <c r="I111" s="107">
        <v>1.0</v>
      </c>
      <c r="J111" s="111">
        <f t="shared" si="20"/>
        <v>10700</v>
      </c>
      <c r="K111" s="1"/>
      <c r="L111" s="110" t="s">
        <v>89</v>
      </c>
      <c r="M111" s="131">
        <v>10000.0</v>
      </c>
      <c r="N111" s="107">
        <v>1.0</v>
      </c>
      <c r="O111" s="111">
        <f t="shared" si="21"/>
        <v>10000</v>
      </c>
      <c r="P111" s="1"/>
    </row>
    <row r="112" ht="15.75" customHeight="1">
      <c r="A112" s="1"/>
      <c r="B112" s="110" t="s">
        <v>90</v>
      </c>
      <c r="C112" s="131">
        <v>4500.0</v>
      </c>
      <c r="D112" s="107">
        <v>4.0</v>
      </c>
      <c r="E112" s="111">
        <f t="shared" si="18"/>
        <v>18000</v>
      </c>
      <c r="F112" s="66" t="str">
        <f t="shared" si="19"/>
        <v>[Medicine] Sanmol</v>
      </c>
      <c r="G112" s="110" t="s">
        <v>90</v>
      </c>
      <c r="H112" s="131">
        <v>2500.0</v>
      </c>
      <c r="I112" s="107">
        <v>4.0</v>
      </c>
      <c r="J112" s="111">
        <f t="shared" si="20"/>
        <v>10000</v>
      </c>
      <c r="K112" s="1"/>
      <c r="L112" s="110" t="s">
        <v>90</v>
      </c>
      <c r="M112" s="131">
        <v>2000.0</v>
      </c>
      <c r="N112" s="107">
        <v>4.0</v>
      </c>
      <c r="O112" s="111">
        <f t="shared" si="21"/>
        <v>8000</v>
      </c>
      <c r="P112" s="1"/>
    </row>
    <row r="113" ht="15.75" customHeight="1">
      <c r="A113" s="1"/>
      <c r="B113" s="110" t="s">
        <v>91</v>
      </c>
      <c r="C113" s="131">
        <v>63700.0</v>
      </c>
      <c r="D113" s="107">
        <v>1.0</v>
      </c>
      <c r="E113" s="111">
        <f t="shared" si="18"/>
        <v>63700</v>
      </c>
      <c r="F113" s="66" t="str">
        <f t="shared" si="19"/>
        <v>[Medicine] Tolak Angin </v>
      </c>
      <c r="G113" s="110" t="s">
        <v>91</v>
      </c>
      <c r="H113" s="131">
        <v>57950.0</v>
      </c>
      <c r="I113" s="107">
        <v>1.0</v>
      </c>
      <c r="J113" s="111">
        <f t="shared" si="20"/>
        <v>57950</v>
      </c>
      <c r="K113" s="1"/>
      <c r="L113" s="110" t="s">
        <v>91</v>
      </c>
      <c r="M113" s="131">
        <v>55000.0</v>
      </c>
      <c r="N113" s="107">
        <v>1.0</v>
      </c>
      <c r="O113" s="111">
        <f t="shared" si="21"/>
        <v>55000</v>
      </c>
      <c r="P113" s="1"/>
    </row>
    <row r="114" ht="15.75" customHeight="1">
      <c r="A114" s="1"/>
      <c r="B114" s="110" t="s">
        <v>92</v>
      </c>
      <c r="C114" s="131">
        <v>16600.0</v>
      </c>
      <c r="D114" s="107">
        <v>1.0</v>
      </c>
      <c r="E114" s="109">
        <f t="shared" si="18"/>
        <v>16600</v>
      </c>
      <c r="F114" s="66" t="str">
        <f t="shared" si="19"/>
        <v>[Medicine] Minyak Kayu Putih (S)</v>
      </c>
      <c r="G114" s="110" t="s">
        <v>92</v>
      </c>
      <c r="H114" s="131">
        <v>14000.0</v>
      </c>
      <c r="I114" s="107">
        <v>1.0</v>
      </c>
      <c r="J114" s="109">
        <f t="shared" si="20"/>
        <v>14000</v>
      </c>
      <c r="K114" s="1"/>
      <c r="L114" s="110" t="s">
        <v>92</v>
      </c>
      <c r="M114" s="131">
        <v>13794.0</v>
      </c>
      <c r="N114" s="107">
        <v>1.0</v>
      </c>
      <c r="O114" s="138">
        <f t="shared" si="21"/>
        <v>13794</v>
      </c>
      <c r="P114" s="1"/>
    </row>
    <row r="115" ht="15.75" customHeight="1">
      <c r="A115" s="1"/>
      <c r="B115" s="110" t="s">
        <v>93</v>
      </c>
      <c r="C115" s="131">
        <v>15300.0</v>
      </c>
      <c r="D115" s="107">
        <v>1.0</v>
      </c>
      <c r="E115" s="109">
        <f t="shared" si="18"/>
        <v>15300</v>
      </c>
      <c r="F115" s="66" t="str">
        <f t="shared" si="19"/>
        <v>[Medicine] Decolgen FX</v>
      </c>
      <c r="G115" s="110" t="s">
        <v>93</v>
      </c>
      <c r="H115" s="131">
        <v>15200.0</v>
      </c>
      <c r="I115" s="107">
        <v>1.0</v>
      </c>
      <c r="J115" s="109">
        <f t="shared" si="20"/>
        <v>15200</v>
      </c>
      <c r="K115" s="1"/>
      <c r="L115" s="110" t="s">
        <v>93</v>
      </c>
      <c r="M115" s="131">
        <v>13800.0</v>
      </c>
      <c r="N115" s="107">
        <v>1.0</v>
      </c>
      <c r="O115" s="138">
        <f t="shared" si="21"/>
        <v>13800</v>
      </c>
      <c r="P115" s="1"/>
    </row>
    <row r="116" ht="15.75" customHeight="1">
      <c r="A116" s="1"/>
      <c r="B116" s="110" t="s">
        <v>94</v>
      </c>
      <c r="C116" s="131">
        <v>15500.0</v>
      </c>
      <c r="D116" s="107">
        <v>2.0</v>
      </c>
      <c r="E116" s="109">
        <f t="shared" si="18"/>
        <v>31000</v>
      </c>
      <c r="F116" s="66" t="str">
        <f t="shared" si="19"/>
        <v>[Medicine] Hansaplast </v>
      </c>
      <c r="G116" s="110" t="s">
        <v>94</v>
      </c>
      <c r="H116" s="131">
        <v>11572.0</v>
      </c>
      <c r="I116" s="107">
        <v>2.0</v>
      </c>
      <c r="J116" s="109">
        <f t="shared" si="20"/>
        <v>23144</v>
      </c>
      <c r="K116" s="1"/>
      <c r="L116" s="110" t="s">
        <v>94</v>
      </c>
      <c r="M116" s="131">
        <v>10900.0</v>
      </c>
      <c r="N116" s="107">
        <v>2.0</v>
      </c>
      <c r="O116" s="138">
        <f t="shared" si="21"/>
        <v>21800</v>
      </c>
      <c r="P116" s="1"/>
    </row>
    <row r="117" ht="15.75" customHeight="1">
      <c r="A117" s="1"/>
      <c r="B117" s="110" t="s">
        <v>95</v>
      </c>
      <c r="C117" s="131">
        <v>24150.0</v>
      </c>
      <c r="D117" s="107">
        <v>1.0</v>
      </c>
      <c r="E117" s="109">
        <f t="shared" si="18"/>
        <v>24150</v>
      </c>
      <c r="F117" s="66"/>
      <c r="G117" s="110" t="s">
        <v>95</v>
      </c>
      <c r="H117" s="131">
        <v>20778.0</v>
      </c>
      <c r="I117" s="107">
        <v>1.0</v>
      </c>
      <c r="J117" s="109">
        <f t="shared" si="20"/>
        <v>20778</v>
      </c>
      <c r="K117" s="1"/>
      <c r="L117" s="110" t="s">
        <v>95</v>
      </c>
      <c r="M117" s="131">
        <v>18663.0</v>
      </c>
      <c r="N117" s="107">
        <v>1.0</v>
      </c>
      <c r="O117" s="138">
        <f t="shared" si="21"/>
        <v>18663</v>
      </c>
      <c r="P117" s="1"/>
    </row>
    <row r="118" ht="15.75" customHeight="1">
      <c r="A118" s="1"/>
      <c r="B118" s="110" t="s">
        <v>96</v>
      </c>
      <c r="C118" s="131">
        <v>10000.0</v>
      </c>
      <c r="D118" s="107">
        <v>1.0</v>
      </c>
      <c r="E118" s="109">
        <f t="shared" si="18"/>
        <v>10000</v>
      </c>
      <c r="F118" s="66"/>
      <c r="G118" s="110" t="s">
        <v>96</v>
      </c>
      <c r="H118" s="131">
        <v>9257.0</v>
      </c>
      <c r="I118" s="107">
        <v>1.0</v>
      </c>
      <c r="J118" s="109">
        <f t="shared" si="20"/>
        <v>9257</v>
      </c>
      <c r="K118" s="1"/>
      <c r="L118" s="110" t="s">
        <v>96</v>
      </c>
      <c r="M118" s="131">
        <v>8500.0</v>
      </c>
      <c r="N118" s="107">
        <v>1.0</v>
      </c>
      <c r="O118" s="138">
        <f t="shared" si="21"/>
        <v>8500</v>
      </c>
      <c r="P118" s="1"/>
    </row>
    <row r="119" ht="15.75" customHeight="1">
      <c r="A119" s="1"/>
      <c r="B119" s="110" t="s">
        <v>97</v>
      </c>
      <c r="C119" s="131">
        <v>15895.0</v>
      </c>
      <c r="D119" s="107">
        <v>1.0</v>
      </c>
      <c r="E119" s="109">
        <f t="shared" si="18"/>
        <v>15895</v>
      </c>
      <c r="F119" s="66"/>
      <c r="G119" s="110" t="s">
        <v>97</v>
      </c>
      <c r="H119" s="131">
        <v>15043.0</v>
      </c>
      <c r="I119" s="107">
        <v>1.0</v>
      </c>
      <c r="J119" s="109">
        <f t="shared" si="20"/>
        <v>15043</v>
      </c>
      <c r="K119" s="1"/>
      <c r="L119" s="110" t="s">
        <v>97</v>
      </c>
      <c r="M119" s="131">
        <v>14690.0</v>
      </c>
      <c r="N119" s="107">
        <v>1.0</v>
      </c>
      <c r="O119" s="138">
        <f t="shared" si="21"/>
        <v>14690</v>
      </c>
      <c r="P119" s="1"/>
    </row>
    <row r="120" ht="15.75" customHeight="1">
      <c r="A120" s="1"/>
      <c r="B120" s="110" t="s">
        <v>98</v>
      </c>
      <c r="C120" s="131">
        <v>31510.0</v>
      </c>
      <c r="D120" s="107">
        <v>2.0</v>
      </c>
      <c r="E120" s="109">
        <f t="shared" si="18"/>
        <v>63020</v>
      </c>
      <c r="F120" s="66"/>
      <c r="G120" s="110" t="s">
        <v>98</v>
      </c>
      <c r="H120" s="131">
        <v>29000.0</v>
      </c>
      <c r="I120" s="107">
        <v>2.0</v>
      </c>
      <c r="J120" s="109">
        <f t="shared" si="20"/>
        <v>58000</v>
      </c>
      <c r="K120" s="1"/>
      <c r="L120" s="110" t="s">
        <v>98</v>
      </c>
      <c r="M120" s="131">
        <v>28400.0</v>
      </c>
      <c r="N120" s="107">
        <v>2.0</v>
      </c>
      <c r="O120" s="138">
        <f t="shared" si="21"/>
        <v>56800</v>
      </c>
      <c r="P120" s="1"/>
    </row>
    <row r="121" ht="15.75" customHeight="1">
      <c r="A121" s="1"/>
      <c r="B121" s="110" t="s">
        <v>99</v>
      </c>
      <c r="C121" s="131">
        <v>8500.0</v>
      </c>
      <c r="D121" s="107">
        <v>5.0</v>
      </c>
      <c r="E121" s="109">
        <f t="shared" si="18"/>
        <v>42500</v>
      </c>
      <c r="F121" s="66"/>
      <c r="G121" s="110" t="s">
        <v>99</v>
      </c>
      <c r="H121" s="131">
        <v>6125.0</v>
      </c>
      <c r="I121" s="107">
        <v>5.0</v>
      </c>
      <c r="J121" s="109">
        <f t="shared" si="20"/>
        <v>30625</v>
      </c>
      <c r="K121" s="1"/>
      <c r="L121" s="110" t="s">
        <v>99</v>
      </c>
      <c r="M121" s="131">
        <v>6000.0</v>
      </c>
      <c r="N121" s="107">
        <v>5.0</v>
      </c>
      <c r="O121" s="138">
        <f t="shared" si="21"/>
        <v>30000</v>
      </c>
      <c r="P121" s="1"/>
    </row>
    <row r="122" ht="15.75" customHeight="1">
      <c r="A122" s="1"/>
      <c r="B122" s="110" t="s">
        <v>100</v>
      </c>
      <c r="C122" s="131">
        <v>3000.0</v>
      </c>
      <c r="D122" s="107">
        <v>40.0</v>
      </c>
      <c r="E122" s="109">
        <f t="shared" si="18"/>
        <v>120000</v>
      </c>
      <c r="F122" s="66"/>
      <c r="G122" s="110" t="s">
        <v>100</v>
      </c>
      <c r="H122" s="131">
        <v>2000.0</v>
      </c>
      <c r="I122" s="107">
        <v>45.0</v>
      </c>
      <c r="J122" s="109">
        <f t="shared" si="20"/>
        <v>90000</v>
      </c>
      <c r="K122" s="1"/>
      <c r="L122" s="110" t="s">
        <v>100</v>
      </c>
      <c r="M122" s="131">
        <v>1500.0</v>
      </c>
      <c r="N122" s="107">
        <v>50.0</v>
      </c>
      <c r="O122" s="138">
        <f t="shared" si="21"/>
        <v>75000</v>
      </c>
      <c r="P122" s="1"/>
    </row>
    <row r="123" ht="15.75" customHeight="1">
      <c r="A123" s="1"/>
      <c r="B123" s="110" t="s">
        <v>101</v>
      </c>
      <c r="C123" s="131">
        <v>3000.0</v>
      </c>
      <c r="D123" s="107">
        <v>80.0</v>
      </c>
      <c r="E123" s="109">
        <f t="shared" si="18"/>
        <v>240000</v>
      </c>
      <c r="F123" s="66"/>
      <c r="G123" s="110" t="s">
        <v>101</v>
      </c>
      <c r="H123" s="131">
        <v>2000.0</v>
      </c>
      <c r="I123" s="107">
        <v>82.0</v>
      </c>
      <c r="J123" s="109">
        <f t="shared" si="20"/>
        <v>164000</v>
      </c>
      <c r="K123" s="1"/>
      <c r="L123" s="110" t="s">
        <v>101</v>
      </c>
      <c r="M123" s="131">
        <v>1500.0</v>
      </c>
      <c r="N123" s="107">
        <v>85.0</v>
      </c>
      <c r="O123" s="138">
        <f t="shared" si="21"/>
        <v>127500</v>
      </c>
      <c r="P123" s="1"/>
    </row>
    <row r="124" ht="15.75" customHeight="1">
      <c r="A124" s="1"/>
      <c r="B124" s="110" t="s">
        <v>102</v>
      </c>
      <c r="C124" s="131">
        <v>6000.0</v>
      </c>
      <c r="D124" s="107">
        <v>3.0</v>
      </c>
      <c r="E124" s="109">
        <f t="shared" si="18"/>
        <v>18000</v>
      </c>
      <c r="F124" s="66"/>
      <c r="G124" s="110" t="s">
        <v>102</v>
      </c>
      <c r="H124" s="131">
        <v>5000.0</v>
      </c>
      <c r="I124" s="107">
        <v>3.0</v>
      </c>
      <c r="J124" s="109">
        <f t="shared" si="20"/>
        <v>15000</v>
      </c>
      <c r="K124" s="1"/>
      <c r="L124" s="110" t="s">
        <v>102</v>
      </c>
      <c r="M124" s="131">
        <v>4000.0</v>
      </c>
      <c r="N124" s="107">
        <v>3.0</v>
      </c>
      <c r="O124" s="138">
        <f t="shared" si="21"/>
        <v>12000</v>
      </c>
      <c r="P124" s="1"/>
    </row>
    <row r="125" ht="15.75" customHeight="1">
      <c r="A125" s="1"/>
      <c r="B125" s="110" t="s">
        <v>103</v>
      </c>
      <c r="C125" s="131">
        <v>12000.0</v>
      </c>
      <c r="D125" s="107">
        <v>3.0</v>
      </c>
      <c r="E125" s="109">
        <f t="shared" si="18"/>
        <v>36000</v>
      </c>
      <c r="F125" s="66"/>
      <c r="G125" s="110" t="s">
        <v>103</v>
      </c>
      <c r="H125" s="131">
        <v>10000.0</v>
      </c>
      <c r="I125" s="107">
        <v>3.0</v>
      </c>
      <c r="J125" s="109">
        <f t="shared" si="20"/>
        <v>30000</v>
      </c>
      <c r="K125" s="1"/>
      <c r="L125" s="110" t="s">
        <v>103</v>
      </c>
      <c r="M125" s="131">
        <v>8000.0</v>
      </c>
      <c r="N125" s="107">
        <v>3.0</v>
      </c>
      <c r="O125" s="138">
        <f t="shared" si="21"/>
        <v>24000</v>
      </c>
      <c r="P125" s="1"/>
    </row>
    <row r="126" ht="15.75" customHeight="1">
      <c r="A126" s="1"/>
      <c r="B126" s="110" t="s">
        <v>104</v>
      </c>
      <c r="C126" s="131">
        <v>50000.0</v>
      </c>
      <c r="D126" s="107">
        <v>3.0</v>
      </c>
      <c r="E126" s="109">
        <f t="shared" si="18"/>
        <v>150000</v>
      </c>
      <c r="F126" s="66"/>
      <c r="G126" s="110" t="s">
        <v>104</v>
      </c>
      <c r="H126" s="131">
        <v>40000.0</v>
      </c>
      <c r="I126" s="107">
        <v>3.0</v>
      </c>
      <c r="J126" s="109">
        <f t="shared" si="20"/>
        <v>120000</v>
      </c>
      <c r="K126" s="1"/>
      <c r="L126" s="110" t="s">
        <v>104</v>
      </c>
      <c r="M126" s="131">
        <v>30000.0</v>
      </c>
      <c r="N126" s="107">
        <v>3.0</v>
      </c>
      <c r="O126" s="138">
        <f t="shared" si="21"/>
        <v>90000</v>
      </c>
      <c r="P126" s="1"/>
    </row>
    <row r="127" ht="18.75" customHeight="1">
      <c r="A127" s="4"/>
      <c r="B127" s="122" t="s">
        <v>56</v>
      </c>
      <c r="C127" s="87"/>
      <c r="D127" s="88"/>
      <c r="E127" s="123">
        <f>SUM(E108:E126)</f>
        <v>4652213</v>
      </c>
      <c r="F127" s="72"/>
      <c r="G127" s="122" t="s">
        <v>56</v>
      </c>
      <c r="H127" s="87"/>
      <c r="I127" s="88"/>
      <c r="J127" s="123">
        <f>SUM(J108:J126)</f>
        <v>1673697</v>
      </c>
      <c r="K127" s="4"/>
      <c r="L127" s="122" t="s">
        <v>56</v>
      </c>
      <c r="M127" s="87"/>
      <c r="N127" s="88"/>
      <c r="O127" s="123">
        <f>SUM(O108:O126)</f>
        <v>2631707</v>
      </c>
      <c r="P127" s="1"/>
    </row>
    <row r="128" ht="17.25" customHeight="1">
      <c r="A128" s="1"/>
      <c r="B128" s="97"/>
      <c r="C128" s="96"/>
      <c r="D128" s="96"/>
      <c r="E128" s="96"/>
      <c r="F128" s="66"/>
      <c r="G128" s="97"/>
      <c r="H128" s="96"/>
      <c r="I128" s="96"/>
      <c r="J128" s="96"/>
      <c r="K128" s="1"/>
      <c r="L128" s="97"/>
      <c r="M128" s="96"/>
      <c r="N128" s="96"/>
      <c r="O128" s="96"/>
      <c r="P128" s="1"/>
    </row>
    <row r="129" ht="24.0" customHeight="1">
      <c r="A129" s="4"/>
      <c r="B129" s="139" t="str">
        <f>'🏦COVER🏦'!D14</f>
        <v>#REF!</v>
      </c>
      <c r="C129" s="140" t="s">
        <v>5</v>
      </c>
      <c r="D129" s="140" t="s">
        <v>6</v>
      </c>
      <c r="E129" s="140" t="s">
        <v>7</v>
      </c>
      <c r="F129" s="141"/>
      <c r="G129" s="134" t="str">
        <f>B129</f>
        <v>#REF!</v>
      </c>
      <c r="H129" s="103" t="s">
        <v>5</v>
      </c>
      <c r="I129" s="103" t="s">
        <v>6</v>
      </c>
      <c r="J129" s="103" t="s">
        <v>7</v>
      </c>
      <c r="K129" s="16"/>
      <c r="L129" s="134" t="str">
        <f>B129</f>
        <v>#REF!</v>
      </c>
      <c r="M129" s="103" t="s">
        <v>5</v>
      </c>
      <c r="N129" s="103" t="s">
        <v>6</v>
      </c>
      <c r="O129" s="103" t="s">
        <v>7</v>
      </c>
      <c r="P129" s="135"/>
    </row>
    <row r="130" ht="15.0" customHeight="1">
      <c r="A130" s="4"/>
      <c r="B130" s="142" t="s">
        <v>105</v>
      </c>
      <c r="C130" s="106">
        <v>11000.0</v>
      </c>
      <c r="D130" s="143">
        <v>12.0</v>
      </c>
      <c r="E130" s="144">
        <f t="shared" ref="E130:E141" si="22">C130*D130</f>
        <v>132000</v>
      </c>
      <c r="F130" s="141" t="str">
        <f t="shared" ref="F130:F137" si="23">G130</f>
        <v>Stamp Duty (E-Materai) </v>
      </c>
      <c r="G130" s="142" t="s">
        <v>105</v>
      </c>
      <c r="H130" s="136">
        <v>11000.0</v>
      </c>
      <c r="I130" s="145">
        <v>8.0</v>
      </c>
      <c r="J130" s="137">
        <f t="shared" ref="J130:J131" si="24">H130*I130</f>
        <v>88000</v>
      </c>
      <c r="K130" s="146"/>
      <c r="L130" s="142" t="s">
        <v>105</v>
      </c>
      <c r="M130" s="131">
        <v>11000.0</v>
      </c>
      <c r="N130" s="107">
        <v>8.0</v>
      </c>
      <c r="O130" s="111">
        <f t="shared" ref="O130:O141" si="25">M130*N130</f>
        <v>88000</v>
      </c>
      <c r="P130" s="147"/>
    </row>
    <row r="131" ht="15.0" customHeight="1">
      <c r="A131" s="4"/>
      <c r="B131" s="148" t="s">
        <v>106</v>
      </c>
      <c r="C131" s="131">
        <v>12000.0</v>
      </c>
      <c r="D131" s="107">
        <v>10.0</v>
      </c>
      <c r="E131" s="149">
        <f t="shared" si="22"/>
        <v>120000</v>
      </c>
      <c r="F131" s="66" t="str">
        <f t="shared" si="23"/>
        <v>Stamp Duty (Materai Fisik)</v>
      </c>
      <c r="G131" s="148" t="s">
        <v>106</v>
      </c>
      <c r="H131" s="131">
        <v>12000.0</v>
      </c>
      <c r="I131" s="107">
        <v>7.0</v>
      </c>
      <c r="J131" s="150">
        <f t="shared" si="24"/>
        <v>84000</v>
      </c>
      <c r="K131" s="151"/>
      <c r="L131" s="148" t="s">
        <v>106</v>
      </c>
      <c r="M131" s="131">
        <v>12000.0</v>
      </c>
      <c r="N131" s="107">
        <v>5.0</v>
      </c>
      <c r="O131" s="111">
        <f t="shared" si="25"/>
        <v>60000</v>
      </c>
      <c r="P131" s="147"/>
    </row>
    <row r="132" ht="15.0" customHeight="1">
      <c r="A132" s="1"/>
      <c r="B132" s="148" t="s">
        <v>107</v>
      </c>
      <c r="C132" s="131">
        <v>27000.0</v>
      </c>
      <c r="D132" s="107">
        <v>3.0</v>
      </c>
      <c r="E132" s="109">
        <f t="shared" si="22"/>
        <v>81000</v>
      </c>
      <c r="F132" s="66" t="str">
        <f t="shared" si="23"/>
        <v>Hardcopy Proposal</v>
      </c>
      <c r="G132" s="148" t="s">
        <v>107</v>
      </c>
      <c r="H132" s="131">
        <v>22000.0</v>
      </c>
      <c r="I132" s="107">
        <v>3.0</v>
      </c>
      <c r="J132" s="109"/>
      <c r="K132" s="151"/>
      <c r="L132" s="148" t="s">
        <v>107</v>
      </c>
      <c r="M132" s="131">
        <v>17000.0</v>
      </c>
      <c r="N132" s="107">
        <v>3.0</v>
      </c>
      <c r="O132" s="109">
        <f t="shared" si="25"/>
        <v>51000</v>
      </c>
      <c r="P132" s="147"/>
    </row>
    <row r="133" ht="15.0" customHeight="1">
      <c r="A133" s="1"/>
      <c r="B133" s="148" t="s">
        <v>108</v>
      </c>
      <c r="C133" s="131">
        <v>16000.0</v>
      </c>
      <c r="D133" s="107">
        <v>18.0</v>
      </c>
      <c r="E133" s="109">
        <f t="shared" si="22"/>
        <v>288000</v>
      </c>
      <c r="F133" s="66" t="str">
        <f t="shared" si="23"/>
        <v>Hardcopy LoA</v>
      </c>
      <c r="G133" s="148" t="s">
        <v>108</v>
      </c>
      <c r="H133" s="131">
        <v>16000.0</v>
      </c>
      <c r="I133" s="107">
        <v>14.0</v>
      </c>
      <c r="J133" s="109">
        <f>H133*I133</f>
        <v>224000</v>
      </c>
      <c r="K133" s="147"/>
      <c r="L133" s="148" t="s">
        <v>108</v>
      </c>
      <c r="M133" s="131">
        <v>16000.0</v>
      </c>
      <c r="N133" s="107">
        <v>12.0</v>
      </c>
      <c r="O133" s="109">
        <f t="shared" si="25"/>
        <v>192000</v>
      </c>
      <c r="P133" s="147"/>
    </row>
    <row r="134" ht="15.0" customHeight="1">
      <c r="A134" s="1"/>
      <c r="B134" s="148" t="s">
        <v>109</v>
      </c>
      <c r="C134" s="131">
        <v>1000.0</v>
      </c>
      <c r="D134" s="112">
        <v>6.0</v>
      </c>
      <c r="E134" s="109">
        <f t="shared" si="22"/>
        <v>6000</v>
      </c>
      <c r="F134" s="66" t="str">
        <f t="shared" si="23"/>
        <v>Hardcopy Invoice</v>
      </c>
      <c r="G134" s="148" t="s">
        <v>109</v>
      </c>
      <c r="H134" s="131">
        <v>1000.0</v>
      </c>
      <c r="I134" s="112">
        <v>4.0</v>
      </c>
      <c r="J134" s="109"/>
      <c r="K134" s="152"/>
      <c r="L134" s="148" t="s">
        <v>109</v>
      </c>
      <c r="M134" s="131">
        <v>1000.0</v>
      </c>
      <c r="N134" s="112">
        <v>2.0</v>
      </c>
      <c r="O134" s="109">
        <f t="shared" si="25"/>
        <v>2000</v>
      </c>
      <c r="P134" s="152"/>
    </row>
    <row r="135" ht="15.0" customHeight="1">
      <c r="A135" s="1"/>
      <c r="B135" s="148" t="s">
        <v>110</v>
      </c>
      <c r="C135" s="131">
        <v>20000.0</v>
      </c>
      <c r="D135" s="112">
        <v>7.0</v>
      </c>
      <c r="E135" s="109">
        <f t="shared" si="22"/>
        <v>140000</v>
      </c>
      <c r="F135" s="66" t="str">
        <f t="shared" si="23"/>
        <v>Shipping Fee</v>
      </c>
      <c r="G135" s="148" t="s">
        <v>110</v>
      </c>
      <c r="H135" s="131">
        <v>20000.0</v>
      </c>
      <c r="I135" s="112">
        <v>5.0</v>
      </c>
      <c r="J135" s="109">
        <f t="shared" ref="J135:J136" si="26">H135*I135</f>
        <v>100000</v>
      </c>
      <c r="K135" s="152"/>
      <c r="L135" s="148" t="s">
        <v>110</v>
      </c>
      <c r="M135" s="131">
        <v>20000.0</v>
      </c>
      <c r="N135" s="112">
        <v>3.0</v>
      </c>
      <c r="O135" s="109">
        <f t="shared" si="25"/>
        <v>60000</v>
      </c>
      <c r="P135" s="152"/>
    </row>
    <row r="136" ht="15.0" customHeight="1">
      <c r="A136" s="1"/>
      <c r="B136" s="148" t="s">
        <v>111</v>
      </c>
      <c r="C136" s="153">
        <v>4000.0</v>
      </c>
      <c r="D136" s="112">
        <v>12.0</v>
      </c>
      <c r="E136" s="109">
        <f t="shared" si="22"/>
        <v>48000</v>
      </c>
      <c r="F136" s="66" t="str">
        <f t="shared" si="23"/>
        <v>Hardcopy Partnership Letter</v>
      </c>
      <c r="G136" s="148" t="s">
        <v>111</v>
      </c>
      <c r="H136" s="153">
        <v>4000.0</v>
      </c>
      <c r="I136" s="112">
        <v>10.0</v>
      </c>
      <c r="J136" s="109">
        <f t="shared" si="26"/>
        <v>40000</v>
      </c>
      <c r="K136" s="1"/>
      <c r="L136" s="148" t="s">
        <v>111</v>
      </c>
      <c r="M136" s="153">
        <v>4000.0</v>
      </c>
      <c r="N136" s="112">
        <v>8.0</v>
      </c>
      <c r="O136" s="109">
        <f t="shared" si="25"/>
        <v>32000</v>
      </c>
      <c r="P136" s="1"/>
    </row>
    <row r="137" ht="15.0" customHeight="1">
      <c r="A137" s="1"/>
      <c r="B137" s="148" t="s">
        <v>112</v>
      </c>
      <c r="C137" s="154">
        <v>48000.0</v>
      </c>
      <c r="D137" s="155">
        <v>1.0</v>
      </c>
      <c r="E137" s="109">
        <f t="shared" si="22"/>
        <v>48000</v>
      </c>
      <c r="F137" s="66" t="str">
        <f t="shared" si="23"/>
        <v>Mineral Water bottle</v>
      </c>
      <c r="G137" s="148" t="s">
        <v>112</v>
      </c>
      <c r="H137" s="154">
        <v>44000.0</v>
      </c>
      <c r="I137" s="156">
        <v>1.0</v>
      </c>
      <c r="J137" s="109"/>
      <c r="K137" s="1"/>
      <c r="L137" s="148" t="s">
        <v>112</v>
      </c>
      <c r="M137" s="157">
        <v>40000.0</v>
      </c>
      <c r="N137" s="156">
        <v>1.0</v>
      </c>
      <c r="O137" s="109">
        <f t="shared" si="25"/>
        <v>40000</v>
      </c>
      <c r="P137" s="1"/>
    </row>
    <row r="138" ht="15.0" customHeight="1">
      <c r="A138" s="1"/>
      <c r="B138" s="148" t="s">
        <v>113</v>
      </c>
      <c r="C138" s="154">
        <v>30000.0</v>
      </c>
      <c r="D138" s="155">
        <v>2.0</v>
      </c>
      <c r="E138" s="109">
        <f t="shared" si="22"/>
        <v>60000</v>
      </c>
      <c r="F138" s="66"/>
      <c r="G138" s="148" t="s">
        <v>113</v>
      </c>
      <c r="H138" s="154">
        <v>26000.0</v>
      </c>
      <c r="I138" s="156">
        <v>2.0</v>
      </c>
      <c r="J138" s="109"/>
      <c r="K138" s="1"/>
      <c r="L138" s="148" t="s">
        <v>113</v>
      </c>
      <c r="M138" s="157">
        <v>25000.0</v>
      </c>
      <c r="N138" s="156">
        <v>2.0</v>
      </c>
      <c r="O138" s="109">
        <f t="shared" si="25"/>
        <v>50000</v>
      </c>
      <c r="P138" s="1"/>
    </row>
    <row r="139" ht="15.0" customHeight="1">
      <c r="A139" s="1"/>
      <c r="B139" s="148" t="s">
        <v>114</v>
      </c>
      <c r="C139" s="154">
        <v>28000.0</v>
      </c>
      <c r="D139" s="155">
        <v>25.0</v>
      </c>
      <c r="E139" s="109">
        <f t="shared" si="22"/>
        <v>700000</v>
      </c>
      <c r="F139" s="66"/>
      <c r="G139" s="148" t="s">
        <v>114</v>
      </c>
      <c r="H139" s="154">
        <v>25000.0</v>
      </c>
      <c r="I139" s="156">
        <v>25.0</v>
      </c>
      <c r="J139" s="109"/>
      <c r="K139" s="1"/>
      <c r="L139" s="148" t="s">
        <v>114</v>
      </c>
      <c r="M139" s="157">
        <v>20000.0</v>
      </c>
      <c r="N139" s="156">
        <v>25.0</v>
      </c>
      <c r="O139" s="109">
        <f t="shared" si="25"/>
        <v>500000</v>
      </c>
      <c r="P139" s="1"/>
    </row>
    <row r="140" ht="15.0" customHeight="1">
      <c r="A140" s="1"/>
      <c r="B140" s="148" t="s">
        <v>115</v>
      </c>
      <c r="C140" s="154">
        <v>20000.0</v>
      </c>
      <c r="D140" s="155">
        <v>2.0</v>
      </c>
      <c r="E140" s="109">
        <f t="shared" si="22"/>
        <v>40000</v>
      </c>
      <c r="F140" s="66"/>
      <c r="G140" s="148" t="s">
        <v>115</v>
      </c>
      <c r="H140" s="154">
        <v>17500.0</v>
      </c>
      <c r="I140" s="156">
        <v>2.0</v>
      </c>
      <c r="J140" s="109"/>
      <c r="K140" s="1"/>
      <c r="L140" s="148" t="s">
        <v>115</v>
      </c>
      <c r="M140" s="157">
        <v>15000.0</v>
      </c>
      <c r="N140" s="156">
        <v>2.0</v>
      </c>
      <c r="O140" s="109">
        <f t="shared" si="25"/>
        <v>30000</v>
      </c>
      <c r="P140" s="1"/>
    </row>
    <row r="141" ht="15.0" customHeight="1">
      <c r="A141" s="1"/>
      <c r="B141" s="148" t="s">
        <v>116</v>
      </c>
      <c r="C141" s="154">
        <v>5000.0</v>
      </c>
      <c r="D141" s="155">
        <v>2.0</v>
      </c>
      <c r="E141" s="109">
        <f t="shared" si="22"/>
        <v>10000</v>
      </c>
      <c r="F141" s="66"/>
      <c r="G141" s="148" t="s">
        <v>116</v>
      </c>
      <c r="H141" s="154">
        <v>4000.0</v>
      </c>
      <c r="I141" s="156">
        <v>2.0</v>
      </c>
      <c r="J141" s="109"/>
      <c r="K141" s="1"/>
      <c r="L141" s="148" t="s">
        <v>116</v>
      </c>
      <c r="M141" s="157">
        <v>3000.0</v>
      </c>
      <c r="N141" s="156">
        <v>2.0</v>
      </c>
      <c r="O141" s="109">
        <f t="shared" si="25"/>
        <v>6000</v>
      </c>
      <c r="P141" s="1"/>
    </row>
    <row r="142" ht="18.75" customHeight="1">
      <c r="A142" s="4"/>
      <c r="B142" s="122" t="s">
        <v>56</v>
      </c>
      <c r="C142" s="87"/>
      <c r="D142" s="88"/>
      <c r="E142" s="123">
        <f>SUM(E129:E141)</f>
        <v>1673000</v>
      </c>
      <c r="F142" s="72"/>
      <c r="G142" s="122" t="s">
        <v>56</v>
      </c>
      <c r="H142" s="87"/>
      <c r="I142" s="88"/>
      <c r="J142" s="123">
        <f>SUM(J129:J141)</f>
        <v>536000</v>
      </c>
      <c r="K142" s="4"/>
      <c r="L142" s="122" t="s">
        <v>56</v>
      </c>
      <c r="M142" s="87"/>
      <c r="N142" s="88"/>
      <c r="O142" s="123">
        <f>SUM(O129:O141)</f>
        <v>1111000</v>
      </c>
      <c r="P142" s="1"/>
    </row>
    <row r="143" ht="15.0" customHeight="1">
      <c r="A143" s="1"/>
      <c r="B143" s="1"/>
      <c r="C143" s="1"/>
      <c r="D143" s="1"/>
      <c r="E143" s="1"/>
      <c r="F143" s="66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27.0" customHeight="1">
      <c r="A144" s="1"/>
      <c r="B144" s="102" t="str">
        <f>'🏦COVER🏦'!D15</f>
        <v>#REF!</v>
      </c>
      <c r="C144" s="125" t="s">
        <v>5</v>
      </c>
      <c r="D144" s="125" t="s">
        <v>6</v>
      </c>
      <c r="E144" s="125" t="s">
        <v>7</v>
      </c>
      <c r="F144" s="66"/>
      <c r="G144" s="102" t="str">
        <f>B144</f>
        <v>#REF!</v>
      </c>
      <c r="H144" s="125" t="s">
        <v>5</v>
      </c>
      <c r="I144" s="125" t="s">
        <v>6</v>
      </c>
      <c r="J144" s="125" t="s">
        <v>7</v>
      </c>
      <c r="K144" s="1"/>
      <c r="L144" s="102" t="str">
        <f>B144</f>
        <v>#REF!</v>
      </c>
      <c r="M144" s="125" t="s">
        <v>5</v>
      </c>
      <c r="N144" s="125" t="s">
        <v>6</v>
      </c>
      <c r="O144" s="125" t="s">
        <v>7</v>
      </c>
      <c r="P144" s="1"/>
    </row>
    <row r="145" ht="15.0" customHeight="1">
      <c r="A145" s="4"/>
      <c r="B145" s="105" t="s">
        <v>117</v>
      </c>
      <c r="C145" s="158">
        <v>11700.0</v>
      </c>
      <c r="D145" s="159">
        <v>4.0</v>
      </c>
      <c r="E145" s="108">
        <f t="shared" ref="E145:E154" si="27">C145*D145</f>
        <v>46800</v>
      </c>
      <c r="F145" s="66" t="str">
        <f t="shared" ref="F145:F148" si="28">G145</f>
        <v>Karton 68x78</v>
      </c>
      <c r="G145" s="105" t="s">
        <v>118</v>
      </c>
      <c r="H145" s="158">
        <v>8500.0</v>
      </c>
      <c r="I145" s="159">
        <v>4.0</v>
      </c>
      <c r="J145" s="108">
        <f t="shared" ref="J145:J154" si="29">H145*I145</f>
        <v>34000</v>
      </c>
      <c r="K145" s="1"/>
      <c r="L145" s="105" t="s">
        <v>118</v>
      </c>
      <c r="M145" s="158">
        <v>3737.0</v>
      </c>
      <c r="N145" s="159">
        <v>4.0</v>
      </c>
      <c r="O145" s="108">
        <f t="shared" ref="O145:O154" si="30">M145*N145</f>
        <v>14948</v>
      </c>
      <c r="P145" s="1"/>
    </row>
    <row r="146" ht="15.0" customHeight="1">
      <c r="A146" s="1"/>
      <c r="B146" s="110" t="s">
        <v>119</v>
      </c>
      <c r="C146" s="160">
        <v>85000.0</v>
      </c>
      <c r="D146" s="112">
        <v>6.0</v>
      </c>
      <c r="E146" s="111">
        <f t="shared" si="27"/>
        <v>510000</v>
      </c>
      <c r="F146" s="66" t="str">
        <f t="shared" si="28"/>
        <v>Kardus Besar size kulkas</v>
      </c>
      <c r="G146" s="110" t="s">
        <v>119</v>
      </c>
      <c r="H146" s="161">
        <v>55000.0</v>
      </c>
      <c r="I146" s="112">
        <v>6.0</v>
      </c>
      <c r="J146" s="111">
        <f t="shared" si="29"/>
        <v>330000</v>
      </c>
      <c r="K146" s="1"/>
      <c r="L146" s="110" t="s">
        <v>119</v>
      </c>
      <c r="M146" s="161">
        <v>55000.0</v>
      </c>
      <c r="N146" s="112">
        <v>6.0</v>
      </c>
      <c r="O146" s="111">
        <f t="shared" si="30"/>
        <v>330000</v>
      </c>
      <c r="P146" s="1"/>
    </row>
    <row r="147" ht="15.0" customHeight="1">
      <c r="A147" s="1"/>
      <c r="B147" s="162" t="s">
        <v>120</v>
      </c>
      <c r="C147" s="163">
        <v>420000.0</v>
      </c>
      <c r="D147" s="164">
        <v>1.0</v>
      </c>
      <c r="E147" s="111">
        <f t="shared" si="27"/>
        <v>420000</v>
      </c>
      <c r="F147" s="66" t="str">
        <f t="shared" si="28"/>
        <v>Lensa Canon 24-70MM F/2.8L </v>
      </c>
      <c r="G147" s="162" t="s">
        <v>120</v>
      </c>
      <c r="H147" s="165">
        <v>400000.0</v>
      </c>
      <c r="I147" s="112">
        <v>1.0</v>
      </c>
      <c r="J147" s="111">
        <f t="shared" si="29"/>
        <v>400000</v>
      </c>
      <c r="K147" s="1"/>
      <c r="L147" s="162" t="s">
        <v>120</v>
      </c>
      <c r="M147" s="165">
        <v>340000.0</v>
      </c>
      <c r="N147" s="112">
        <v>1.0</v>
      </c>
      <c r="O147" s="111">
        <f t="shared" si="30"/>
        <v>340000</v>
      </c>
      <c r="P147" s="1"/>
    </row>
    <row r="148" ht="15.0" customHeight="1">
      <c r="A148" s="1"/>
      <c r="B148" s="162" t="s">
        <v>121</v>
      </c>
      <c r="C148" s="163">
        <v>520000.0</v>
      </c>
      <c r="D148" s="166">
        <v>1.0</v>
      </c>
      <c r="E148" s="111">
        <f t="shared" si="27"/>
        <v>520000</v>
      </c>
      <c r="F148" s="66" t="str">
        <f t="shared" si="28"/>
        <v>Lensa Fuji 16-55mm</v>
      </c>
      <c r="G148" s="162" t="s">
        <v>121</v>
      </c>
      <c r="H148" s="165">
        <v>500000.0</v>
      </c>
      <c r="I148" s="107">
        <v>1.0</v>
      </c>
      <c r="J148" s="111">
        <f t="shared" si="29"/>
        <v>500000</v>
      </c>
      <c r="K148" s="1"/>
      <c r="L148" s="162" t="s">
        <v>121</v>
      </c>
      <c r="M148" s="165">
        <v>450000.0</v>
      </c>
      <c r="N148" s="107">
        <v>1.0</v>
      </c>
      <c r="O148" s="111">
        <f t="shared" si="30"/>
        <v>450000</v>
      </c>
      <c r="P148" s="1"/>
    </row>
    <row r="149" ht="15.0" customHeight="1">
      <c r="A149" s="1"/>
      <c r="B149" s="167" t="s">
        <v>122</v>
      </c>
      <c r="C149" s="165">
        <v>200000.0</v>
      </c>
      <c r="D149" s="166">
        <v>1.0</v>
      </c>
      <c r="E149" s="111">
        <f t="shared" si="27"/>
        <v>200000</v>
      </c>
      <c r="F149" s="66"/>
      <c r="G149" s="167" t="s">
        <v>122</v>
      </c>
      <c r="H149" s="165">
        <v>150000.0</v>
      </c>
      <c r="I149" s="112">
        <v>1.0</v>
      </c>
      <c r="J149" s="111">
        <f t="shared" si="29"/>
        <v>150000</v>
      </c>
      <c r="K149" s="1"/>
      <c r="L149" s="167" t="s">
        <v>122</v>
      </c>
      <c r="M149" s="165">
        <v>110000.0</v>
      </c>
      <c r="N149" s="112">
        <v>1.0</v>
      </c>
      <c r="O149" s="111">
        <f t="shared" si="30"/>
        <v>110000</v>
      </c>
      <c r="P149" s="1"/>
    </row>
    <row r="150" ht="15.0" customHeight="1">
      <c r="A150" s="1"/>
      <c r="B150" s="110" t="s">
        <v>123</v>
      </c>
      <c r="C150" s="165">
        <v>9000.0</v>
      </c>
      <c r="D150" s="155">
        <v>4.0</v>
      </c>
      <c r="E150" s="111">
        <f t="shared" si="27"/>
        <v>36000</v>
      </c>
      <c r="F150" s="66" t="str">
        <f t="shared" ref="F150:F154" si="31">G150</f>
        <v>Daun Palem</v>
      </c>
      <c r="G150" s="110" t="s">
        <v>123</v>
      </c>
      <c r="H150" s="165">
        <v>5000.0</v>
      </c>
      <c r="I150" s="112">
        <v>4.0</v>
      </c>
      <c r="J150" s="111">
        <f t="shared" si="29"/>
        <v>20000</v>
      </c>
      <c r="K150" s="1"/>
      <c r="L150" s="110" t="s">
        <v>123</v>
      </c>
      <c r="M150" s="165">
        <v>3800.0</v>
      </c>
      <c r="N150" s="112">
        <v>4.0</v>
      </c>
      <c r="O150" s="111">
        <f t="shared" si="30"/>
        <v>15200</v>
      </c>
      <c r="P150" s="1"/>
    </row>
    <row r="151" ht="15.0" customHeight="1">
      <c r="A151" s="1"/>
      <c r="B151" s="110" t="s">
        <v>124</v>
      </c>
      <c r="C151" s="165">
        <v>8500.0</v>
      </c>
      <c r="D151" s="155">
        <v>8.0</v>
      </c>
      <c r="E151" s="111">
        <f t="shared" si="27"/>
        <v>68000</v>
      </c>
      <c r="F151" s="66" t="str">
        <f t="shared" si="31"/>
        <v>Karton Padi A2</v>
      </c>
      <c r="G151" s="110" t="s">
        <v>124</v>
      </c>
      <c r="H151" s="165">
        <v>4000.0</v>
      </c>
      <c r="I151" s="112">
        <v>8.0</v>
      </c>
      <c r="J151" s="111">
        <f t="shared" si="29"/>
        <v>32000</v>
      </c>
      <c r="K151" s="1"/>
      <c r="L151" s="110" t="s">
        <v>124</v>
      </c>
      <c r="M151" s="165">
        <v>3500.0</v>
      </c>
      <c r="N151" s="112">
        <v>8.0</v>
      </c>
      <c r="O151" s="111">
        <f t="shared" si="30"/>
        <v>28000</v>
      </c>
      <c r="P151" s="1"/>
    </row>
    <row r="152" ht="15.0" customHeight="1">
      <c r="A152" s="1"/>
      <c r="B152" s="110" t="s">
        <v>125</v>
      </c>
      <c r="C152" s="165">
        <v>32000.0</v>
      </c>
      <c r="D152" s="155">
        <v>8.0</v>
      </c>
      <c r="E152" s="111">
        <f t="shared" si="27"/>
        <v>256000</v>
      </c>
      <c r="F152" s="66" t="str">
        <f t="shared" si="31"/>
        <v>Print Dekor Pangung (Gapura) A2</v>
      </c>
      <c r="G152" s="110" t="s">
        <v>125</v>
      </c>
      <c r="H152" s="165">
        <v>19000.0</v>
      </c>
      <c r="I152" s="112">
        <v>8.0</v>
      </c>
      <c r="J152" s="111">
        <f t="shared" si="29"/>
        <v>152000</v>
      </c>
      <c r="K152" s="1"/>
      <c r="L152" s="110" t="s">
        <v>125</v>
      </c>
      <c r="M152" s="165">
        <v>17000.0</v>
      </c>
      <c r="N152" s="112">
        <v>8.0</v>
      </c>
      <c r="O152" s="111">
        <f t="shared" si="30"/>
        <v>136000</v>
      </c>
      <c r="P152" s="1"/>
    </row>
    <row r="153" ht="15.0" customHeight="1">
      <c r="A153" s="1"/>
      <c r="B153" s="110" t="s">
        <v>126</v>
      </c>
      <c r="C153" s="165">
        <v>7500.0</v>
      </c>
      <c r="D153" s="155">
        <v>4.0</v>
      </c>
      <c r="E153" s="111">
        <f t="shared" si="27"/>
        <v>30000</v>
      </c>
      <c r="F153" s="66" t="str">
        <f t="shared" si="31"/>
        <v>Daun Ilalang</v>
      </c>
      <c r="G153" s="110" t="s">
        <v>126</v>
      </c>
      <c r="H153" s="165">
        <v>6480.0</v>
      </c>
      <c r="I153" s="112">
        <v>4.0</v>
      </c>
      <c r="J153" s="111">
        <f t="shared" si="29"/>
        <v>25920</v>
      </c>
      <c r="K153" s="1"/>
      <c r="L153" s="110" t="s">
        <v>126</v>
      </c>
      <c r="M153" s="165">
        <v>5700.0</v>
      </c>
      <c r="N153" s="112">
        <v>4.0</v>
      </c>
      <c r="O153" s="111">
        <f t="shared" si="30"/>
        <v>22800</v>
      </c>
      <c r="P153" s="1"/>
    </row>
    <row r="154" ht="15.0" customHeight="1">
      <c r="A154" s="1"/>
      <c r="B154" s="110" t="s">
        <v>127</v>
      </c>
      <c r="C154" s="165">
        <v>10000.0</v>
      </c>
      <c r="D154" s="155">
        <v>8.0</v>
      </c>
      <c r="E154" s="111">
        <f t="shared" si="27"/>
        <v>80000</v>
      </c>
      <c r="F154" s="66" t="str">
        <f t="shared" si="31"/>
        <v>Print Dekor Panggung Front View A3</v>
      </c>
      <c r="G154" s="110" t="s">
        <v>127</v>
      </c>
      <c r="H154" s="165">
        <v>5300.0</v>
      </c>
      <c r="I154" s="112">
        <v>8.0</v>
      </c>
      <c r="J154" s="111">
        <f t="shared" si="29"/>
        <v>42400</v>
      </c>
      <c r="K154" s="1"/>
      <c r="L154" s="110" t="s">
        <v>127</v>
      </c>
      <c r="M154" s="165">
        <v>4000.0</v>
      </c>
      <c r="N154" s="112">
        <v>8.0</v>
      </c>
      <c r="O154" s="111">
        <f t="shared" si="30"/>
        <v>32000</v>
      </c>
      <c r="P154" s="1"/>
    </row>
    <row r="155" ht="15.0" customHeight="1">
      <c r="A155" s="4"/>
      <c r="B155" s="122" t="s">
        <v>56</v>
      </c>
      <c r="C155" s="87"/>
      <c r="D155" s="88"/>
      <c r="E155" s="123">
        <f>SUM(E146:E154)</f>
        <v>2120000</v>
      </c>
      <c r="F155" s="133" t="s">
        <v>128</v>
      </c>
      <c r="G155" s="122" t="s">
        <v>56</v>
      </c>
      <c r="H155" s="87"/>
      <c r="I155" s="88"/>
      <c r="J155" s="123">
        <f>SUM(J146:J154)</f>
        <v>1652320</v>
      </c>
      <c r="K155" s="4"/>
      <c r="L155" s="122" t="s">
        <v>56</v>
      </c>
      <c r="M155" s="87"/>
      <c r="N155" s="88"/>
      <c r="O155" s="123">
        <f>SUM(O146:O154)</f>
        <v>1464000</v>
      </c>
      <c r="P155" s="1"/>
    </row>
    <row r="156" ht="15.0" customHeight="1">
      <c r="A156" s="1"/>
      <c r="B156" s="168"/>
      <c r="C156" s="168"/>
      <c r="D156" s="168"/>
      <c r="E156" s="1"/>
      <c r="F156" s="169" t="s">
        <v>129</v>
      </c>
      <c r="G156" s="168"/>
      <c r="H156" s="168"/>
      <c r="I156" s="168"/>
      <c r="J156" s="1"/>
      <c r="K156" s="1"/>
      <c r="L156" s="168"/>
      <c r="M156" s="168"/>
      <c r="N156" s="168"/>
      <c r="O156" s="1"/>
      <c r="P156" s="1"/>
    </row>
    <row r="157" ht="24.75" customHeight="1">
      <c r="A157" s="1"/>
      <c r="B157" s="102" t="str">
        <f>'🏦COVER🏦'!D16</f>
        <v>#REF!</v>
      </c>
      <c r="C157" s="125" t="s">
        <v>5</v>
      </c>
      <c r="D157" s="125" t="s">
        <v>6</v>
      </c>
      <c r="E157" s="125" t="s">
        <v>7</v>
      </c>
      <c r="F157" s="66"/>
      <c r="G157" s="102" t="str">
        <f>B157</f>
        <v>#REF!</v>
      </c>
      <c r="H157" s="125" t="s">
        <v>5</v>
      </c>
      <c r="I157" s="125" t="s">
        <v>6</v>
      </c>
      <c r="J157" s="125" t="s">
        <v>7</v>
      </c>
      <c r="K157" s="1"/>
      <c r="L157" s="102" t="str">
        <f>B157</f>
        <v>#REF!</v>
      </c>
      <c r="M157" s="125" t="s">
        <v>5</v>
      </c>
      <c r="N157" s="125" t="s">
        <v>6</v>
      </c>
      <c r="O157" s="125" t="s">
        <v>7</v>
      </c>
      <c r="P157" s="1"/>
    </row>
    <row r="158" ht="15.0" customHeight="1">
      <c r="A158" s="4"/>
      <c r="B158" s="105" t="s">
        <v>130</v>
      </c>
      <c r="C158" s="158">
        <v>885000.0</v>
      </c>
      <c r="D158" s="159">
        <v>350.0</v>
      </c>
      <c r="E158" s="108">
        <f t="shared" ref="E158:E160" si="32">C158*D158</f>
        <v>309750000</v>
      </c>
      <c r="F158" s="66" t="str">
        <f t="shared" ref="F158:F160" si="33">G158</f>
        <v>Hotels &amp; Venue</v>
      </c>
      <c r="G158" s="105" t="s">
        <v>130</v>
      </c>
      <c r="H158" s="158">
        <v>885000.0</v>
      </c>
      <c r="I158" s="112">
        <v>350.0</v>
      </c>
      <c r="J158" s="108">
        <f t="shared" ref="J158:J167" si="34">H158*I158</f>
        <v>309750000</v>
      </c>
      <c r="K158" s="4"/>
      <c r="L158" s="105" t="s">
        <v>130</v>
      </c>
      <c r="M158" s="158">
        <v>885000.0</v>
      </c>
      <c r="N158" s="159">
        <v>350.0</v>
      </c>
      <c r="O158" s="108">
        <f t="shared" ref="O158:O160" si="35">M158*N158</f>
        <v>309750000</v>
      </c>
      <c r="P158" s="1"/>
    </row>
    <row r="159" ht="15.0" customHeight="1">
      <c r="A159" s="1"/>
      <c r="B159" s="127" t="s">
        <v>131</v>
      </c>
      <c r="C159" s="161">
        <v>4000000.0</v>
      </c>
      <c r="D159" s="112">
        <v>5.0</v>
      </c>
      <c r="E159" s="149">
        <f t="shared" si="32"/>
        <v>20000000</v>
      </c>
      <c r="F159" s="66" t="str">
        <f t="shared" si="33"/>
        <v>CDT+LCP Pre-Meeting Homestay</v>
      </c>
      <c r="G159" s="127" t="s">
        <v>131</v>
      </c>
      <c r="H159" s="161">
        <v>3500000.0</v>
      </c>
      <c r="I159" s="112">
        <v>5.0</v>
      </c>
      <c r="J159" s="149">
        <f t="shared" si="34"/>
        <v>17500000</v>
      </c>
      <c r="K159" s="4"/>
      <c r="L159" s="127" t="s">
        <v>131</v>
      </c>
      <c r="M159" s="161">
        <v>3200000.0</v>
      </c>
      <c r="N159" s="112">
        <v>5.0</v>
      </c>
      <c r="O159" s="149">
        <f t="shared" si="35"/>
        <v>16000000</v>
      </c>
      <c r="P159" s="1"/>
    </row>
    <row r="160" ht="15.0" customHeight="1">
      <c r="A160" s="1"/>
      <c r="B160" s="127" t="s">
        <v>132</v>
      </c>
      <c r="C160" s="161">
        <v>300000.0</v>
      </c>
      <c r="D160" s="112">
        <v>39.0</v>
      </c>
      <c r="E160" s="149">
        <f t="shared" si="32"/>
        <v>11700000</v>
      </c>
      <c r="F160" s="66" t="str">
        <f t="shared" si="33"/>
        <v>CDT Consumptions (20x makan)</v>
      </c>
      <c r="G160" s="127" t="s">
        <v>132</v>
      </c>
      <c r="H160" s="161">
        <v>220000.0</v>
      </c>
      <c r="I160" s="112">
        <v>39.0</v>
      </c>
      <c r="J160" s="149">
        <f t="shared" si="34"/>
        <v>8580000</v>
      </c>
      <c r="K160" s="4"/>
      <c r="L160" s="127" t="s">
        <v>132</v>
      </c>
      <c r="M160" s="161">
        <v>180000.0</v>
      </c>
      <c r="N160" s="112">
        <v>39.0</v>
      </c>
      <c r="O160" s="149">
        <f t="shared" si="35"/>
        <v>7020000</v>
      </c>
      <c r="P160" s="1"/>
    </row>
    <row r="161" ht="15.0" customHeight="1">
      <c r="A161" s="1"/>
      <c r="B161" s="127"/>
      <c r="C161" s="161"/>
      <c r="D161" s="112"/>
      <c r="E161" s="149"/>
      <c r="F161" s="66"/>
      <c r="G161" s="127" t="s">
        <v>133</v>
      </c>
      <c r="H161" s="161">
        <v>2500000.0</v>
      </c>
      <c r="I161" s="112">
        <v>4.0</v>
      </c>
      <c r="J161" s="149">
        <f t="shared" si="34"/>
        <v>10000000</v>
      </c>
      <c r="K161" s="4"/>
      <c r="L161" s="127"/>
      <c r="M161" s="161"/>
      <c r="N161" s="112"/>
      <c r="O161" s="150"/>
      <c r="P161" s="1"/>
    </row>
    <row r="162" ht="15.0" customHeight="1">
      <c r="A162" s="1"/>
      <c r="B162" s="127"/>
      <c r="C162" s="161"/>
      <c r="D162" s="112"/>
      <c r="E162" s="149"/>
      <c r="F162" s="66"/>
      <c r="G162" s="127" t="s">
        <v>134</v>
      </c>
      <c r="H162" s="161">
        <v>3500000.0</v>
      </c>
      <c r="I162" s="112">
        <v>3.0</v>
      </c>
      <c r="J162" s="149">
        <f t="shared" si="34"/>
        <v>10500000</v>
      </c>
      <c r="K162" s="4"/>
      <c r="L162" s="127"/>
      <c r="M162" s="161"/>
      <c r="N162" s="112"/>
      <c r="O162" s="150"/>
      <c r="P162" s="1"/>
    </row>
    <row r="163" ht="15.0" customHeight="1">
      <c r="A163" s="1"/>
      <c r="B163" s="127" t="s">
        <v>135</v>
      </c>
      <c r="C163" s="161">
        <v>0.0</v>
      </c>
      <c r="D163" s="112">
        <v>0.0</v>
      </c>
      <c r="E163" s="149">
        <f t="shared" ref="E163:E167" si="36">C163*D163</f>
        <v>0</v>
      </c>
      <c r="F163" s="66" t="str">
        <f t="shared" ref="F163:F167" si="37">G163</f>
        <v>Chair Transportation</v>
      </c>
      <c r="G163" s="127" t="s">
        <v>135</v>
      </c>
      <c r="H163" s="161">
        <v>0.0</v>
      </c>
      <c r="I163" s="112">
        <v>0.0</v>
      </c>
      <c r="J163" s="130">
        <f t="shared" si="34"/>
        <v>0</v>
      </c>
      <c r="K163" s="1"/>
      <c r="L163" s="127" t="s">
        <v>135</v>
      </c>
      <c r="M163" s="161">
        <v>0.0</v>
      </c>
      <c r="N163" s="112">
        <v>0.0</v>
      </c>
      <c r="O163" s="130">
        <f t="shared" ref="O163:O167" si="38">M163*N163</f>
        <v>0</v>
      </c>
      <c r="P163" s="1"/>
    </row>
    <row r="164" ht="15.0" customHeight="1">
      <c r="A164" s="1"/>
      <c r="B164" s="127" t="s">
        <v>136</v>
      </c>
      <c r="C164" s="161">
        <v>135000.0</v>
      </c>
      <c r="D164" s="112">
        <v>27.0</v>
      </c>
      <c r="E164" s="149">
        <f t="shared" si="36"/>
        <v>3645000</v>
      </c>
      <c r="F164" s="66" t="str">
        <f t="shared" si="37"/>
        <v>LCP Pre-Meeting Consumption (9x makan)</v>
      </c>
      <c r="G164" s="127" t="s">
        <v>136</v>
      </c>
      <c r="H164" s="161">
        <v>99000.0</v>
      </c>
      <c r="I164" s="112">
        <v>27.0</v>
      </c>
      <c r="J164" s="138">
        <f t="shared" si="34"/>
        <v>2673000</v>
      </c>
      <c r="K164" s="1"/>
      <c r="L164" s="127" t="s">
        <v>136</v>
      </c>
      <c r="M164" s="161">
        <v>81000.0</v>
      </c>
      <c r="N164" s="112">
        <v>27.0</v>
      </c>
      <c r="O164" s="138">
        <f t="shared" si="38"/>
        <v>2187000</v>
      </c>
      <c r="P164" s="1"/>
    </row>
    <row r="165" ht="15.0" customHeight="1">
      <c r="A165" s="1"/>
      <c r="B165" s="127" t="s">
        <v>137</v>
      </c>
      <c r="C165" s="161">
        <v>12000.0</v>
      </c>
      <c r="D165" s="112">
        <v>8.0</v>
      </c>
      <c r="E165" s="149">
        <f t="shared" si="36"/>
        <v>96000</v>
      </c>
      <c r="F165" s="66" t="str">
        <f t="shared" si="37"/>
        <v>Air Galon</v>
      </c>
      <c r="G165" s="127" t="s">
        <v>137</v>
      </c>
      <c r="H165" s="161">
        <v>10000.0</v>
      </c>
      <c r="I165" s="112">
        <v>8.0</v>
      </c>
      <c r="J165" s="149">
        <f t="shared" si="34"/>
        <v>80000</v>
      </c>
      <c r="K165" s="1"/>
      <c r="L165" s="127" t="s">
        <v>137</v>
      </c>
      <c r="M165" s="161">
        <v>8000.0</v>
      </c>
      <c r="N165" s="112">
        <v>8.0</v>
      </c>
      <c r="O165" s="149">
        <f t="shared" si="38"/>
        <v>64000</v>
      </c>
      <c r="P165" s="1"/>
    </row>
    <row r="166" ht="15.0" customHeight="1">
      <c r="A166" s="1"/>
      <c r="B166" s="127" t="s">
        <v>138</v>
      </c>
      <c r="C166" s="161">
        <v>9600.0</v>
      </c>
      <c r="D166" s="112">
        <v>2.0</v>
      </c>
      <c r="E166" s="149">
        <f t="shared" si="36"/>
        <v>19200</v>
      </c>
      <c r="F166" s="66" t="str">
        <f t="shared" si="37"/>
        <v>Trash Bag</v>
      </c>
      <c r="G166" s="127" t="s">
        <v>138</v>
      </c>
      <c r="H166" s="161">
        <v>6749.0</v>
      </c>
      <c r="I166" s="112">
        <v>5.0</v>
      </c>
      <c r="J166" s="149">
        <f t="shared" si="34"/>
        <v>33745</v>
      </c>
      <c r="K166" s="1"/>
      <c r="L166" s="127" t="s">
        <v>138</v>
      </c>
      <c r="M166" s="161">
        <v>6620.0</v>
      </c>
      <c r="N166" s="112">
        <v>5.0</v>
      </c>
      <c r="O166" s="149">
        <f t="shared" si="38"/>
        <v>33100</v>
      </c>
      <c r="P166" s="1"/>
    </row>
    <row r="167" ht="15.0" customHeight="1">
      <c r="A167" s="1"/>
      <c r="B167" s="127" t="s">
        <v>139</v>
      </c>
      <c r="C167" s="161">
        <v>2500000.0</v>
      </c>
      <c r="D167" s="112">
        <v>1.0</v>
      </c>
      <c r="E167" s="149">
        <f t="shared" si="36"/>
        <v>2500000</v>
      </c>
      <c r="F167" s="66" t="str">
        <f t="shared" si="37"/>
        <v>Transportation and Mobilization Fee</v>
      </c>
      <c r="G167" s="127" t="s">
        <v>139</v>
      </c>
      <c r="H167" s="161">
        <v>2000000.0</v>
      </c>
      <c r="I167" s="112">
        <v>1.0</v>
      </c>
      <c r="J167" s="149">
        <f t="shared" si="34"/>
        <v>2000000</v>
      </c>
      <c r="K167" s="1"/>
      <c r="L167" s="127" t="s">
        <v>139</v>
      </c>
      <c r="M167" s="161">
        <v>1500000.0</v>
      </c>
      <c r="N167" s="112">
        <v>1.0</v>
      </c>
      <c r="O167" s="149">
        <f t="shared" si="38"/>
        <v>1500000</v>
      </c>
      <c r="P167" s="1"/>
    </row>
    <row r="168" ht="18.75" customHeight="1">
      <c r="A168" s="4"/>
      <c r="B168" s="122" t="s">
        <v>56</v>
      </c>
      <c r="C168" s="87"/>
      <c r="D168" s="88"/>
      <c r="E168" s="123">
        <f>SUM(E158:E167)</f>
        <v>347710200</v>
      </c>
      <c r="F168" s="4"/>
      <c r="G168" s="122" t="s">
        <v>56</v>
      </c>
      <c r="H168" s="87"/>
      <c r="I168" s="88"/>
      <c r="J168" s="123">
        <f>SUM(J158:J167)</f>
        <v>361116745</v>
      </c>
      <c r="K168" s="4"/>
      <c r="L168" s="122" t="s">
        <v>56</v>
      </c>
      <c r="M168" s="87"/>
      <c r="N168" s="88"/>
      <c r="O168" s="123">
        <f>SUM(O158:O167)</f>
        <v>336554100</v>
      </c>
      <c r="P168" s="1"/>
    </row>
    <row r="169" ht="15.0" customHeight="1">
      <c r="A169" s="1"/>
      <c r="B169" s="168"/>
      <c r="C169" s="168"/>
      <c r="D169" s="168"/>
      <c r="E169" s="1"/>
      <c r="F169" s="1"/>
      <c r="G169" s="168"/>
      <c r="H169" s="168"/>
      <c r="I169" s="168"/>
      <c r="J169" s="1"/>
      <c r="K169" s="1"/>
      <c r="L169" s="168"/>
      <c r="M169" s="168"/>
      <c r="N169" s="168"/>
      <c r="O169" s="1"/>
      <c r="P169" s="1"/>
    </row>
  </sheetData>
  <mergeCells count="58">
    <mergeCell ref="L26:N26"/>
    <mergeCell ref="L27:N27"/>
    <mergeCell ref="L29:N29"/>
    <mergeCell ref="L30:N30"/>
    <mergeCell ref="L31:N31"/>
    <mergeCell ref="L32:N32"/>
    <mergeCell ref="L33:N33"/>
    <mergeCell ref="G27:I27"/>
    <mergeCell ref="G28:I28"/>
    <mergeCell ref="G29:I29"/>
    <mergeCell ref="G30:I30"/>
    <mergeCell ref="G31:I31"/>
    <mergeCell ref="G32:I32"/>
    <mergeCell ref="G33:I33"/>
    <mergeCell ref="B1:O1"/>
    <mergeCell ref="B2:E2"/>
    <mergeCell ref="G2:J2"/>
    <mergeCell ref="L2:O2"/>
    <mergeCell ref="B3:E3"/>
    <mergeCell ref="G3:J3"/>
    <mergeCell ref="L3:O3"/>
    <mergeCell ref="B24:D24"/>
    <mergeCell ref="G24:I24"/>
    <mergeCell ref="L24:N24"/>
    <mergeCell ref="B26:D26"/>
    <mergeCell ref="G26:I26"/>
    <mergeCell ref="B27:D27"/>
    <mergeCell ref="L28:N28"/>
    <mergeCell ref="G34:I34"/>
    <mergeCell ref="G36:J36"/>
    <mergeCell ref="L36:O36"/>
    <mergeCell ref="B34:D34"/>
    <mergeCell ref="B74:D74"/>
    <mergeCell ref="B105:D105"/>
    <mergeCell ref="B127:D127"/>
    <mergeCell ref="B142:D142"/>
    <mergeCell ref="B155:D155"/>
    <mergeCell ref="B168:D168"/>
    <mergeCell ref="B28:D28"/>
    <mergeCell ref="B29:D29"/>
    <mergeCell ref="B30:D30"/>
    <mergeCell ref="B31:D31"/>
    <mergeCell ref="B32:D32"/>
    <mergeCell ref="B33:D33"/>
    <mergeCell ref="B36:E36"/>
    <mergeCell ref="L34:N34"/>
    <mergeCell ref="L74:N74"/>
    <mergeCell ref="L105:N105"/>
    <mergeCell ref="L127:N127"/>
    <mergeCell ref="L142:N142"/>
    <mergeCell ref="L155:N155"/>
    <mergeCell ref="L168:N168"/>
    <mergeCell ref="G74:I74"/>
    <mergeCell ref="G105:I105"/>
    <mergeCell ref="G127:I127"/>
    <mergeCell ref="G142:I142"/>
    <mergeCell ref="G155:I155"/>
    <mergeCell ref="G168:I168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57"/>
    <col customWidth="1" min="2" max="2" width="49.71"/>
    <col customWidth="1" min="3" max="3" width="20.43"/>
    <col customWidth="1" min="4" max="4" width="8.43"/>
    <col customWidth="1" min="5" max="5" width="20.43"/>
    <col customWidth="1" min="6" max="6" width="3.71"/>
    <col customWidth="1" min="7" max="7" width="51.57"/>
    <col customWidth="1" min="8" max="8" width="20.29"/>
    <col customWidth="1" min="9" max="9" width="8.43"/>
    <col customWidth="1" min="10" max="10" width="20.43"/>
    <col customWidth="1" min="11" max="11" width="3.71"/>
    <col customWidth="1" min="12" max="12" width="51.43"/>
    <col customWidth="1" min="13" max="13" width="21.0"/>
    <col customWidth="1" min="14" max="14" width="8.43"/>
    <col customWidth="1" min="15" max="15" width="20.43"/>
    <col customWidth="1" min="16" max="16" width="3.71"/>
  </cols>
  <sheetData>
    <row r="1" ht="34.5" customHeight="1">
      <c r="A1" s="1"/>
      <c r="B1" s="2" t="str">
        <f>CONCATENATE('🏦COVER🏦'!D7," 💰Budget Plan💰")</f>
        <v>#REF!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</row>
    <row r="2" ht="28.5" customHeight="1">
      <c r="A2" s="4"/>
      <c r="B2" s="5" t="s">
        <v>0</v>
      </c>
      <c r="C2" s="6"/>
      <c r="D2" s="6"/>
      <c r="E2" s="7"/>
      <c r="F2" s="8"/>
      <c r="G2" s="9" t="s">
        <v>1</v>
      </c>
      <c r="H2" s="10"/>
      <c r="I2" s="10"/>
      <c r="J2" s="11"/>
      <c r="K2" s="8"/>
      <c r="L2" s="9" t="s">
        <v>2</v>
      </c>
      <c r="M2" s="10"/>
      <c r="N2" s="10"/>
      <c r="O2" s="11"/>
      <c r="P2" s="12"/>
    </row>
    <row r="3" ht="24.0" customHeight="1">
      <c r="A3" s="4"/>
      <c r="B3" s="13" t="s">
        <v>3</v>
      </c>
      <c r="C3" s="14"/>
      <c r="D3" s="14"/>
      <c r="E3" s="15"/>
      <c r="F3" s="16"/>
      <c r="G3" s="17" t="s">
        <v>3</v>
      </c>
      <c r="H3" s="18"/>
      <c r="I3" s="18"/>
      <c r="J3" s="19"/>
      <c r="K3" s="16"/>
      <c r="L3" s="17" t="s">
        <v>3</v>
      </c>
      <c r="M3" s="18"/>
      <c r="N3" s="18"/>
      <c r="O3" s="19"/>
      <c r="P3" s="16"/>
    </row>
    <row r="4" ht="24.0" customHeight="1">
      <c r="A4" s="4"/>
      <c r="B4" s="20" t="s">
        <v>4</v>
      </c>
      <c r="C4" s="21" t="s">
        <v>5</v>
      </c>
      <c r="D4" s="22" t="s">
        <v>6</v>
      </c>
      <c r="E4" s="23" t="s">
        <v>7</v>
      </c>
      <c r="F4" s="16"/>
      <c r="G4" s="22" t="s">
        <v>4</v>
      </c>
      <c r="H4" s="21" t="s">
        <v>5</v>
      </c>
      <c r="I4" s="22" t="s">
        <v>6</v>
      </c>
      <c r="J4" s="23" t="s">
        <v>7</v>
      </c>
      <c r="K4" s="16"/>
      <c r="L4" s="22" t="s">
        <v>4</v>
      </c>
      <c r="M4" s="21" t="s">
        <v>5</v>
      </c>
      <c r="N4" s="22" t="s">
        <v>6</v>
      </c>
      <c r="O4" s="23" t="s">
        <v>7</v>
      </c>
      <c r="P4" s="24"/>
    </row>
    <row r="5" ht="21.75" customHeight="1">
      <c r="A5" s="4"/>
      <c r="B5" s="25" t="s">
        <v>8</v>
      </c>
      <c r="C5" s="26">
        <v>1150000.0</v>
      </c>
      <c r="D5" s="27">
        <v>320.0</v>
      </c>
      <c r="E5" s="28">
        <f t="shared" ref="E5:E26" si="1">C5*D5</f>
        <v>368000000</v>
      </c>
      <c r="F5" s="16"/>
      <c r="G5" s="25" t="s">
        <v>8</v>
      </c>
      <c r="H5" s="26">
        <v>1150000.0</v>
      </c>
      <c r="I5" s="27">
        <v>320.0</v>
      </c>
      <c r="J5" s="28">
        <f t="shared" ref="J5:J26" si="2">H5*I5</f>
        <v>368000000</v>
      </c>
      <c r="K5" s="16"/>
      <c r="L5" s="29" t="s">
        <v>8</v>
      </c>
      <c r="M5" s="26">
        <v>1150000.0</v>
      </c>
      <c r="N5" s="27">
        <v>320.0</v>
      </c>
      <c r="O5" s="28">
        <f t="shared" ref="O5:O26" si="3">M5*N5</f>
        <v>368000000</v>
      </c>
      <c r="P5" s="30"/>
    </row>
    <row r="6" ht="17.25" customHeight="1">
      <c r="A6" s="4"/>
      <c r="B6" s="29" t="s">
        <v>140</v>
      </c>
      <c r="C6" s="31">
        <v>1500000.0</v>
      </c>
      <c r="D6" s="32">
        <v>3.0</v>
      </c>
      <c r="E6" s="33">
        <f t="shared" si="1"/>
        <v>4500000</v>
      </c>
      <c r="F6" s="16"/>
      <c r="G6" s="29" t="s">
        <v>140</v>
      </c>
      <c r="H6" s="31">
        <v>1500000.0</v>
      </c>
      <c r="I6" s="32">
        <v>5.0</v>
      </c>
      <c r="J6" s="33">
        <f t="shared" si="2"/>
        <v>7500000</v>
      </c>
      <c r="K6" s="24"/>
      <c r="L6" s="29" t="s">
        <v>140</v>
      </c>
      <c r="M6" s="31">
        <v>1500000.0</v>
      </c>
      <c r="N6" s="32">
        <v>10.0</v>
      </c>
      <c r="O6" s="33">
        <f t="shared" si="3"/>
        <v>15000000</v>
      </c>
      <c r="P6" s="30"/>
    </row>
    <row r="7" ht="17.25" customHeight="1">
      <c r="A7" s="4"/>
      <c r="B7" s="29" t="s">
        <v>9</v>
      </c>
      <c r="C7" s="31">
        <v>50000.0</v>
      </c>
      <c r="D7" s="32">
        <v>323.0</v>
      </c>
      <c r="E7" s="33">
        <f t="shared" si="1"/>
        <v>16150000</v>
      </c>
      <c r="F7" s="16"/>
      <c r="G7" s="29" t="s">
        <v>9</v>
      </c>
      <c r="H7" s="31">
        <v>50000.0</v>
      </c>
      <c r="I7" s="32">
        <v>325.0</v>
      </c>
      <c r="J7" s="33">
        <f t="shared" si="2"/>
        <v>16250000</v>
      </c>
      <c r="K7" s="24"/>
      <c r="L7" s="34" t="s">
        <v>9</v>
      </c>
      <c r="M7" s="31">
        <v>50000.0</v>
      </c>
      <c r="N7" s="32">
        <v>330.0</v>
      </c>
      <c r="O7" s="33">
        <f t="shared" si="3"/>
        <v>16500000</v>
      </c>
      <c r="P7" s="30"/>
    </row>
    <row r="8" ht="18.0" customHeight="1">
      <c r="A8" s="4"/>
      <c r="B8" s="34" t="s">
        <v>10</v>
      </c>
      <c r="C8" s="31">
        <v>4.0E7</v>
      </c>
      <c r="D8" s="32">
        <v>1.0</v>
      </c>
      <c r="E8" s="35">
        <f t="shared" si="1"/>
        <v>40000000</v>
      </c>
      <c r="F8" s="16"/>
      <c r="G8" s="34" t="s">
        <v>10</v>
      </c>
      <c r="H8" s="31">
        <v>4.0E7</v>
      </c>
      <c r="I8" s="32">
        <v>1.0</v>
      </c>
      <c r="J8" s="35">
        <f t="shared" si="2"/>
        <v>40000000</v>
      </c>
      <c r="K8" s="30"/>
      <c r="L8" s="34" t="s">
        <v>10</v>
      </c>
      <c r="M8" s="31">
        <v>4.0E7</v>
      </c>
      <c r="N8" s="32">
        <v>1.0</v>
      </c>
      <c r="O8" s="33">
        <f t="shared" si="3"/>
        <v>40000000</v>
      </c>
      <c r="P8" s="30"/>
    </row>
    <row r="9" ht="17.25" customHeight="1">
      <c r="A9" s="36"/>
      <c r="B9" s="29" t="s">
        <v>11</v>
      </c>
      <c r="C9" s="31">
        <v>5000000.0</v>
      </c>
      <c r="D9" s="32">
        <v>1.0</v>
      </c>
      <c r="E9" s="37">
        <f t="shared" si="1"/>
        <v>5000000</v>
      </c>
      <c r="F9" s="24"/>
      <c r="G9" s="29" t="s">
        <v>11</v>
      </c>
      <c r="H9" s="31">
        <v>5000000.0</v>
      </c>
      <c r="I9" s="32">
        <v>1.0</v>
      </c>
      <c r="J9" s="37">
        <f t="shared" si="2"/>
        <v>5000000</v>
      </c>
      <c r="K9" s="30"/>
      <c r="L9" s="34" t="s">
        <v>11</v>
      </c>
      <c r="M9" s="31">
        <v>5000000.0</v>
      </c>
      <c r="N9" s="32">
        <v>1.0</v>
      </c>
      <c r="O9" s="33">
        <f t="shared" si="3"/>
        <v>5000000</v>
      </c>
      <c r="P9" s="30"/>
    </row>
    <row r="10" ht="15.75" customHeight="1">
      <c r="A10" s="30"/>
      <c r="B10" s="38" t="s">
        <v>12</v>
      </c>
      <c r="C10" s="31">
        <v>65000.0</v>
      </c>
      <c r="D10" s="32">
        <v>5.0</v>
      </c>
      <c r="E10" s="37">
        <f t="shared" si="1"/>
        <v>325000</v>
      </c>
      <c r="F10" s="30"/>
      <c r="G10" s="38" t="s">
        <v>12</v>
      </c>
      <c r="H10" s="31">
        <v>65000.0</v>
      </c>
      <c r="I10" s="32">
        <v>10.0</v>
      </c>
      <c r="J10" s="37">
        <f t="shared" si="2"/>
        <v>650000</v>
      </c>
      <c r="K10" s="30"/>
      <c r="L10" s="39" t="s">
        <v>12</v>
      </c>
      <c r="M10" s="31">
        <v>65000.0</v>
      </c>
      <c r="N10" s="32">
        <v>15.0</v>
      </c>
      <c r="O10" s="33">
        <f t="shared" si="3"/>
        <v>975000</v>
      </c>
      <c r="P10" s="30"/>
    </row>
    <row r="11" ht="16.5" customHeight="1">
      <c r="A11" s="30"/>
      <c r="B11" s="39" t="s">
        <v>13</v>
      </c>
      <c r="C11" s="31">
        <v>165000.0</v>
      </c>
      <c r="D11" s="32">
        <v>5.0</v>
      </c>
      <c r="E11" s="37">
        <f t="shared" si="1"/>
        <v>825000</v>
      </c>
      <c r="F11" s="30"/>
      <c r="G11" s="39" t="s">
        <v>13</v>
      </c>
      <c r="H11" s="31">
        <v>165000.0</v>
      </c>
      <c r="I11" s="32">
        <v>10.0</v>
      </c>
      <c r="J11" s="37">
        <f t="shared" si="2"/>
        <v>1650000</v>
      </c>
      <c r="K11" s="30"/>
      <c r="L11" s="39" t="s">
        <v>13</v>
      </c>
      <c r="M11" s="31">
        <v>165000.0</v>
      </c>
      <c r="N11" s="32">
        <v>15.0</v>
      </c>
      <c r="O11" s="33">
        <f t="shared" si="3"/>
        <v>2475000</v>
      </c>
      <c r="P11" s="30"/>
    </row>
    <row r="12" ht="16.5" customHeight="1">
      <c r="A12" s="30"/>
      <c r="B12" s="39" t="s">
        <v>14</v>
      </c>
      <c r="C12" s="31">
        <v>120000.0</v>
      </c>
      <c r="D12" s="32">
        <v>5.0</v>
      </c>
      <c r="E12" s="37">
        <f t="shared" si="1"/>
        <v>600000</v>
      </c>
      <c r="F12" s="30"/>
      <c r="G12" s="39" t="s">
        <v>14</v>
      </c>
      <c r="H12" s="31">
        <v>120000.0</v>
      </c>
      <c r="I12" s="32">
        <v>10.0</v>
      </c>
      <c r="J12" s="37">
        <f t="shared" si="2"/>
        <v>1200000</v>
      </c>
      <c r="K12" s="30"/>
      <c r="L12" s="39" t="s">
        <v>14</v>
      </c>
      <c r="M12" s="31">
        <v>120000.0</v>
      </c>
      <c r="N12" s="32">
        <v>15.0</v>
      </c>
      <c r="O12" s="33">
        <f t="shared" si="3"/>
        <v>1800000</v>
      </c>
      <c r="P12" s="30"/>
    </row>
    <row r="13" ht="16.5" customHeight="1">
      <c r="A13" s="30"/>
      <c r="B13" s="39" t="s">
        <v>15</v>
      </c>
      <c r="C13" s="31">
        <v>12000.0</v>
      </c>
      <c r="D13" s="32">
        <v>20.0</v>
      </c>
      <c r="E13" s="37">
        <f t="shared" si="1"/>
        <v>240000</v>
      </c>
      <c r="F13" s="30"/>
      <c r="G13" s="39" t="s">
        <v>15</v>
      </c>
      <c r="H13" s="31">
        <v>12000.0</v>
      </c>
      <c r="I13" s="32">
        <v>25.0</v>
      </c>
      <c r="J13" s="37">
        <f t="shared" si="2"/>
        <v>300000</v>
      </c>
      <c r="K13" s="30"/>
      <c r="L13" s="39" t="s">
        <v>15</v>
      </c>
      <c r="M13" s="31">
        <v>12000.0</v>
      </c>
      <c r="N13" s="32">
        <v>35.0</v>
      </c>
      <c r="O13" s="33">
        <f t="shared" si="3"/>
        <v>420000</v>
      </c>
      <c r="P13" s="30"/>
    </row>
    <row r="14" ht="18.0" customHeight="1">
      <c r="A14" s="30"/>
      <c r="B14" s="39" t="s">
        <v>16</v>
      </c>
      <c r="C14" s="31">
        <v>20000.0</v>
      </c>
      <c r="D14" s="32">
        <v>15.0</v>
      </c>
      <c r="E14" s="37">
        <f t="shared" si="1"/>
        <v>300000</v>
      </c>
      <c r="F14" s="30"/>
      <c r="G14" s="39" t="s">
        <v>16</v>
      </c>
      <c r="H14" s="31">
        <v>20000.0</v>
      </c>
      <c r="I14" s="32">
        <v>25.0</v>
      </c>
      <c r="J14" s="37">
        <f t="shared" si="2"/>
        <v>500000</v>
      </c>
      <c r="K14" s="30"/>
      <c r="L14" s="39" t="s">
        <v>16</v>
      </c>
      <c r="M14" s="31">
        <v>20000.0</v>
      </c>
      <c r="N14" s="32">
        <v>35.0</v>
      </c>
      <c r="O14" s="33">
        <f t="shared" si="3"/>
        <v>700000</v>
      </c>
      <c r="P14" s="30"/>
    </row>
    <row r="15" ht="18.0" customHeight="1">
      <c r="A15" s="30"/>
      <c r="B15" s="39" t="s">
        <v>17</v>
      </c>
      <c r="C15" s="31">
        <v>15000.0</v>
      </c>
      <c r="D15" s="32">
        <v>5.0</v>
      </c>
      <c r="E15" s="37">
        <f t="shared" si="1"/>
        <v>75000</v>
      </c>
      <c r="F15" s="30"/>
      <c r="G15" s="39" t="s">
        <v>17</v>
      </c>
      <c r="H15" s="31">
        <v>15000.0</v>
      </c>
      <c r="I15" s="32">
        <v>10.0</v>
      </c>
      <c r="J15" s="37">
        <f t="shared" si="2"/>
        <v>150000</v>
      </c>
      <c r="K15" s="30"/>
      <c r="L15" s="39" t="s">
        <v>17</v>
      </c>
      <c r="M15" s="31">
        <v>15000.0</v>
      </c>
      <c r="N15" s="32">
        <v>15.0</v>
      </c>
      <c r="O15" s="37">
        <f t="shared" si="3"/>
        <v>225000</v>
      </c>
      <c r="P15" s="30"/>
    </row>
    <row r="16" ht="17.25" customHeight="1">
      <c r="A16" s="30"/>
      <c r="B16" s="39" t="s">
        <v>18</v>
      </c>
      <c r="C16" s="31">
        <v>15000.0</v>
      </c>
      <c r="D16" s="32">
        <v>15.0</v>
      </c>
      <c r="E16" s="37">
        <f t="shared" si="1"/>
        <v>225000</v>
      </c>
      <c r="F16" s="30"/>
      <c r="G16" s="39" t="s">
        <v>18</v>
      </c>
      <c r="H16" s="31">
        <v>15000.0</v>
      </c>
      <c r="I16" s="32">
        <v>25.0</v>
      </c>
      <c r="J16" s="37">
        <f t="shared" si="2"/>
        <v>375000</v>
      </c>
      <c r="K16" s="30"/>
      <c r="L16" s="39" t="s">
        <v>18</v>
      </c>
      <c r="M16" s="31">
        <v>15000.0</v>
      </c>
      <c r="N16" s="32">
        <v>35.0</v>
      </c>
      <c r="O16" s="33">
        <f t="shared" si="3"/>
        <v>525000</v>
      </c>
      <c r="P16" s="30"/>
    </row>
    <row r="17" ht="17.25" customHeight="1">
      <c r="A17" s="30"/>
      <c r="B17" s="40" t="s">
        <v>19</v>
      </c>
      <c r="C17" s="41">
        <v>250000.0</v>
      </c>
      <c r="D17" s="32">
        <v>10.0</v>
      </c>
      <c r="E17" s="37">
        <f t="shared" si="1"/>
        <v>2500000</v>
      </c>
      <c r="F17" s="30"/>
      <c r="G17" s="40" t="s">
        <v>19</v>
      </c>
      <c r="H17" s="41">
        <v>250000.0</v>
      </c>
      <c r="I17" s="32">
        <v>15.0</v>
      </c>
      <c r="J17" s="37">
        <f t="shared" si="2"/>
        <v>3750000</v>
      </c>
      <c r="K17" s="30"/>
      <c r="L17" s="40" t="s">
        <v>19</v>
      </c>
      <c r="M17" s="41">
        <v>250000.0</v>
      </c>
      <c r="N17" s="32">
        <v>20.0</v>
      </c>
      <c r="O17" s="33">
        <f t="shared" si="3"/>
        <v>5000000</v>
      </c>
      <c r="P17" s="30"/>
    </row>
    <row r="18" ht="18.0" customHeight="1">
      <c r="A18" s="30"/>
      <c r="B18" s="40" t="s">
        <v>20</v>
      </c>
      <c r="C18" s="41">
        <v>35000.0</v>
      </c>
      <c r="D18" s="32">
        <v>45.0</v>
      </c>
      <c r="E18" s="37">
        <f t="shared" si="1"/>
        <v>1575000</v>
      </c>
      <c r="F18" s="30"/>
      <c r="G18" s="40" t="s">
        <v>20</v>
      </c>
      <c r="H18" s="41">
        <v>35000.0</v>
      </c>
      <c r="I18" s="32">
        <v>50.0</v>
      </c>
      <c r="J18" s="37">
        <f t="shared" si="2"/>
        <v>1750000</v>
      </c>
      <c r="K18" s="30"/>
      <c r="L18" s="40" t="s">
        <v>20</v>
      </c>
      <c r="M18" s="41">
        <v>35000.0</v>
      </c>
      <c r="N18" s="32">
        <v>55.0</v>
      </c>
      <c r="O18" s="33">
        <f t="shared" si="3"/>
        <v>1925000</v>
      </c>
      <c r="P18" s="30"/>
    </row>
    <row r="19" ht="17.25" customHeight="1">
      <c r="A19" s="30"/>
      <c r="B19" s="40" t="s">
        <v>21</v>
      </c>
      <c r="C19" s="41">
        <v>20000.0</v>
      </c>
      <c r="D19" s="32">
        <v>40.0</v>
      </c>
      <c r="E19" s="37">
        <f t="shared" si="1"/>
        <v>800000</v>
      </c>
      <c r="F19" s="30"/>
      <c r="G19" s="40" t="s">
        <v>21</v>
      </c>
      <c r="H19" s="41">
        <v>20000.0</v>
      </c>
      <c r="I19" s="32">
        <v>45.0</v>
      </c>
      <c r="J19" s="37">
        <f t="shared" si="2"/>
        <v>900000</v>
      </c>
      <c r="K19" s="30"/>
      <c r="L19" s="40" t="s">
        <v>21</v>
      </c>
      <c r="M19" s="41">
        <v>20000.0</v>
      </c>
      <c r="N19" s="32">
        <v>50.0</v>
      </c>
      <c r="O19" s="33">
        <f t="shared" si="3"/>
        <v>1000000</v>
      </c>
      <c r="P19" s="30"/>
    </row>
    <row r="20" ht="15.0" customHeight="1">
      <c r="A20" s="30"/>
      <c r="B20" s="40" t="s">
        <v>22</v>
      </c>
      <c r="C20" s="41">
        <v>25000.0</v>
      </c>
      <c r="D20" s="32">
        <v>40.0</v>
      </c>
      <c r="E20" s="37">
        <f t="shared" si="1"/>
        <v>1000000</v>
      </c>
      <c r="F20" s="30"/>
      <c r="G20" s="40" t="s">
        <v>22</v>
      </c>
      <c r="H20" s="41">
        <v>25000.0</v>
      </c>
      <c r="I20" s="32">
        <v>45.0</v>
      </c>
      <c r="J20" s="37">
        <f t="shared" si="2"/>
        <v>1125000</v>
      </c>
      <c r="K20" s="30"/>
      <c r="L20" s="40" t="s">
        <v>22</v>
      </c>
      <c r="M20" s="41">
        <v>25000.0</v>
      </c>
      <c r="N20" s="32">
        <v>50.0</v>
      </c>
      <c r="O20" s="33">
        <f t="shared" si="3"/>
        <v>1250000</v>
      </c>
      <c r="P20" s="30"/>
    </row>
    <row r="21" ht="18.75" customHeight="1">
      <c r="A21" s="30"/>
      <c r="B21" s="39" t="s">
        <v>141</v>
      </c>
      <c r="C21" s="31">
        <v>1.0E7</v>
      </c>
      <c r="D21" s="32">
        <v>1.0</v>
      </c>
      <c r="E21" s="37">
        <f t="shared" si="1"/>
        <v>10000000</v>
      </c>
      <c r="F21" s="30"/>
      <c r="G21" s="39" t="s">
        <v>141</v>
      </c>
      <c r="H21" s="31">
        <v>2.0E7</v>
      </c>
      <c r="I21" s="32">
        <v>1.0</v>
      </c>
      <c r="J21" s="37">
        <f t="shared" si="2"/>
        <v>20000000</v>
      </c>
      <c r="K21" s="30"/>
      <c r="L21" s="39" t="s">
        <v>141</v>
      </c>
      <c r="M21" s="31">
        <v>2.5E7</v>
      </c>
      <c r="N21" s="32">
        <v>1.0</v>
      </c>
      <c r="O21" s="33">
        <f t="shared" si="3"/>
        <v>25000000</v>
      </c>
      <c r="P21" s="30"/>
    </row>
    <row r="22" ht="18.0" customHeight="1">
      <c r="A22" s="30"/>
      <c r="B22" s="39" t="s">
        <v>23</v>
      </c>
      <c r="C22" s="31">
        <v>400000.0</v>
      </c>
      <c r="D22" s="32">
        <v>1.0</v>
      </c>
      <c r="E22" s="37">
        <f t="shared" si="1"/>
        <v>400000</v>
      </c>
      <c r="F22" s="30"/>
      <c r="G22" s="39" t="s">
        <v>23</v>
      </c>
      <c r="H22" s="31">
        <v>400000.0</v>
      </c>
      <c r="I22" s="32">
        <v>1.0</v>
      </c>
      <c r="J22" s="37">
        <f t="shared" si="2"/>
        <v>400000</v>
      </c>
      <c r="K22" s="30"/>
      <c r="L22" s="39" t="s">
        <v>23</v>
      </c>
      <c r="M22" s="31">
        <v>400000.0</v>
      </c>
      <c r="N22" s="32">
        <v>1.0</v>
      </c>
      <c r="O22" s="33">
        <f t="shared" si="3"/>
        <v>400000</v>
      </c>
      <c r="P22" s="30"/>
    </row>
    <row r="23" ht="16.5" customHeight="1">
      <c r="A23" s="30"/>
      <c r="B23" s="39" t="s">
        <v>24</v>
      </c>
      <c r="C23" s="31">
        <v>10000.0</v>
      </c>
      <c r="D23" s="32">
        <v>15.0</v>
      </c>
      <c r="E23" s="37">
        <f t="shared" si="1"/>
        <v>150000</v>
      </c>
      <c r="F23" s="30"/>
      <c r="G23" s="39" t="s">
        <v>24</v>
      </c>
      <c r="H23" s="31">
        <v>10000.0</v>
      </c>
      <c r="I23" s="32">
        <v>20.0</v>
      </c>
      <c r="J23" s="37">
        <f t="shared" si="2"/>
        <v>200000</v>
      </c>
      <c r="K23" s="30"/>
      <c r="L23" s="39" t="s">
        <v>24</v>
      </c>
      <c r="M23" s="31">
        <v>10000.0</v>
      </c>
      <c r="N23" s="32">
        <v>25.0</v>
      </c>
      <c r="O23" s="33">
        <f t="shared" si="3"/>
        <v>250000</v>
      </c>
      <c r="P23" s="30"/>
    </row>
    <row r="24" ht="15.75" customHeight="1">
      <c r="A24" s="30"/>
      <c r="B24" s="39" t="s">
        <v>25</v>
      </c>
      <c r="C24" s="31">
        <v>2213000.0</v>
      </c>
      <c r="D24" s="32">
        <v>1.0</v>
      </c>
      <c r="E24" s="37">
        <f t="shared" si="1"/>
        <v>2213000</v>
      </c>
      <c r="F24" s="30"/>
      <c r="G24" s="39" t="s">
        <v>25</v>
      </c>
      <c r="H24" s="31">
        <v>3021500.0</v>
      </c>
      <c r="I24" s="32">
        <v>1.0</v>
      </c>
      <c r="J24" s="37">
        <f t="shared" si="2"/>
        <v>3021500</v>
      </c>
      <c r="K24" s="30"/>
      <c r="L24" s="39" t="s">
        <v>25</v>
      </c>
      <c r="M24" s="31">
        <v>3796000.0</v>
      </c>
      <c r="N24" s="32">
        <v>1.0</v>
      </c>
      <c r="O24" s="33">
        <f t="shared" si="3"/>
        <v>3796000</v>
      </c>
      <c r="P24" s="30"/>
    </row>
    <row r="25" ht="16.5" customHeight="1">
      <c r="A25" s="30"/>
      <c r="B25" s="39" t="s">
        <v>26</v>
      </c>
      <c r="C25" s="31">
        <v>200000.0</v>
      </c>
      <c r="D25" s="32">
        <v>27.0</v>
      </c>
      <c r="E25" s="37">
        <f t="shared" si="1"/>
        <v>5400000</v>
      </c>
      <c r="F25" s="30"/>
      <c r="G25" s="39" t="s">
        <v>26</v>
      </c>
      <c r="H25" s="31">
        <v>200000.0</v>
      </c>
      <c r="I25" s="32">
        <v>27.0</v>
      </c>
      <c r="J25" s="37">
        <f t="shared" si="2"/>
        <v>5400000</v>
      </c>
      <c r="K25" s="30"/>
      <c r="L25" s="39" t="s">
        <v>26</v>
      </c>
      <c r="M25" s="31">
        <v>200000.0</v>
      </c>
      <c r="N25" s="32">
        <v>27.0</v>
      </c>
      <c r="O25" s="33">
        <f t="shared" si="3"/>
        <v>5400000</v>
      </c>
      <c r="P25" s="30"/>
    </row>
    <row r="26" ht="15.0" customHeight="1">
      <c r="A26" s="30"/>
      <c r="B26" s="170" t="s">
        <v>34</v>
      </c>
      <c r="C26" s="171">
        <v>80000.0</v>
      </c>
      <c r="D26" s="172">
        <v>39.0</v>
      </c>
      <c r="E26" s="173">
        <f t="shared" si="1"/>
        <v>3120000</v>
      </c>
      <c r="F26" s="30"/>
      <c r="G26" s="170" t="s">
        <v>34</v>
      </c>
      <c r="H26" s="171">
        <v>80000.0</v>
      </c>
      <c r="I26" s="172">
        <v>39.0</v>
      </c>
      <c r="J26" s="173">
        <f t="shared" si="2"/>
        <v>3120000</v>
      </c>
      <c r="K26" s="30"/>
      <c r="L26" s="170" t="s">
        <v>34</v>
      </c>
      <c r="M26" s="171">
        <v>80000.0</v>
      </c>
      <c r="N26" s="172">
        <v>39.0</v>
      </c>
      <c r="O26" s="174">
        <f t="shared" si="3"/>
        <v>3120000</v>
      </c>
      <c r="P26" s="30"/>
    </row>
    <row r="27" ht="24.0" customHeight="1">
      <c r="A27" s="42"/>
      <c r="B27" s="43" t="s">
        <v>27</v>
      </c>
      <c r="C27" s="44"/>
      <c r="D27" s="45"/>
      <c r="E27" s="46">
        <f>SUM(E5:E10)</f>
        <v>433975000</v>
      </c>
      <c r="F27" s="30"/>
      <c r="G27" s="43" t="s">
        <v>27</v>
      </c>
      <c r="H27" s="44"/>
      <c r="I27" s="47"/>
      <c r="J27" s="48">
        <f>SUM(J5:J10)</f>
        <v>437400000</v>
      </c>
      <c r="K27" s="30"/>
      <c r="L27" s="43" t="s">
        <v>27</v>
      </c>
      <c r="M27" s="44"/>
      <c r="N27" s="47"/>
      <c r="O27" s="48">
        <f>SUM(O5:O10)</f>
        <v>445475000</v>
      </c>
      <c r="P27" s="30"/>
    </row>
    <row r="28" ht="12.75" customHeight="1">
      <c r="A28" s="49"/>
      <c r="B28" s="50"/>
      <c r="C28" s="50"/>
      <c r="D28" s="50"/>
      <c r="E28" s="50"/>
      <c r="F28" s="51"/>
      <c r="G28" s="50"/>
      <c r="H28" s="50"/>
      <c r="I28" s="50"/>
      <c r="J28" s="50"/>
      <c r="K28" s="52"/>
      <c r="L28" s="50"/>
      <c r="M28" s="50"/>
      <c r="N28" s="50"/>
      <c r="O28" s="50"/>
      <c r="P28" s="53"/>
    </row>
    <row r="29" ht="27.75" customHeight="1">
      <c r="A29" s="54"/>
      <c r="B29" s="55" t="s">
        <v>28</v>
      </c>
      <c r="C29" s="56"/>
      <c r="D29" s="57"/>
      <c r="E29" s="58" t="s">
        <v>7</v>
      </c>
      <c r="F29" s="59"/>
      <c r="G29" s="55" t="s">
        <v>28</v>
      </c>
      <c r="H29" s="56"/>
      <c r="I29" s="57"/>
      <c r="J29" s="58" t="s">
        <v>7</v>
      </c>
      <c r="K29" s="60"/>
      <c r="L29" s="55" t="s">
        <v>28</v>
      </c>
      <c r="M29" s="56"/>
      <c r="N29" s="57"/>
      <c r="O29" s="58" t="s">
        <v>7</v>
      </c>
      <c r="P29" s="61"/>
    </row>
    <row r="30" ht="15.75" customHeight="1">
      <c r="A30" s="1"/>
      <c r="B30" s="62" t="str">
        <f>$B$40</f>
        <v>#REF!</v>
      </c>
      <c r="C30" s="63"/>
      <c r="D30" s="64"/>
      <c r="E30" s="65">
        <f>E79</f>
        <v>31112608</v>
      </c>
      <c r="F30" s="66"/>
      <c r="G30" s="62" t="str">
        <f t="shared" ref="G30:G35" si="4">B30</f>
        <v>#REF!</v>
      </c>
      <c r="H30" s="63"/>
      <c r="I30" s="64"/>
      <c r="J30" s="67">
        <f>J79</f>
        <v>33496933</v>
      </c>
      <c r="K30" s="4"/>
      <c r="L30" s="62" t="str">
        <f t="shared" ref="L30:L35" si="5">G30</f>
        <v>#REF!</v>
      </c>
      <c r="M30" s="63"/>
      <c r="N30" s="64"/>
      <c r="O30" s="67">
        <f>O79</f>
        <v>34598876</v>
      </c>
      <c r="P30" s="1"/>
    </row>
    <row r="31" ht="15.75" customHeight="1">
      <c r="A31" s="1"/>
      <c r="B31" s="68" t="str">
        <f>B81</f>
        <v>#REF!</v>
      </c>
      <c r="C31" s="69"/>
      <c r="D31" s="70"/>
      <c r="E31" s="71">
        <f>E110</f>
        <v>2060700</v>
      </c>
      <c r="F31" s="72"/>
      <c r="G31" s="62" t="str">
        <f t="shared" si="4"/>
        <v>#REF!</v>
      </c>
      <c r="H31" s="63"/>
      <c r="I31" s="64"/>
      <c r="J31" s="73">
        <f>J110</f>
        <v>1340798</v>
      </c>
      <c r="K31" s="4"/>
      <c r="L31" s="62" t="str">
        <f t="shared" si="5"/>
        <v>#REF!</v>
      </c>
      <c r="M31" s="63"/>
      <c r="N31" s="64"/>
      <c r="O31" s="73">
        <f>O110</f>
        <v>940036</v>
      </c>
      <c r="P31" s="1"/>
    </row>
    <row r="32" ht="15.75" customHeight="1">
      <c r="A32" s="1"/>
      <c r="B32" s="68" t="str">
        <f>B112</f>
        <v>#REF!</v>
      </c>
      <c r="C32" s="69"/>
      <c r="D32" s="70"/>
      <c r="E32" s="74">
        <f>E132</f>
        <v>4652213</v>
      </c>
      <c r="F32" s="72"/>
      <c r="G32" s="62" t="str">
        <f t="shared" si="4"/>
        <v>#REF!</v>
      </c>
      <c r="H32" s="63"/>
      <c r="I32" s="64"/>
      <c r="J32" s="75">
        <f>J132</f>
        <v>3684072</v>
      </c>
      <c r="K32" s="4"/>
      <c r="L32" s="62" t="str">
        <f t="shared" si="5"/>
        <v>#REF!</v>
      </c>
      <c r="M32" s="63"/>
      <c r="N32" s="64"/>
      <c r="O32" s="75">
        <f>O132</f>
        <v>2631707</v>
      </c>
      <c r="P32" s="1"/>
    </row>
    <row r="33" ht="15.75" customHeight="1">
      <c r="A33" s="1"/>
      <c r="B33" s="68" t="str">
        <f>B134</f>
        <v>#REF!</v>
      </c>
      <c r="C33" s="69"/>
      <c r="D33" s="70"/>
      <c r="E33" s="76">
        <f>E147</f>
        <v>1673000</v>
      </c>
      <c r="F33" s="72"/>
      <c r="G33" s="62" t="str">
        <f t="shared" si="4"/>
        <v>#REF!</v>
      </c>
      <c r="H33" s="63"/>
      <c r="I33" s="64"/>
      <c r="J33" s="77">
        <f>J147</f>
        <v>1408000</v>
      </c>
      <c r="K33" s="4"/>
      <c r="L33" s="62" t="str">
        <f t="shared" si="5"/>
        <v>#REF!</v>
      </c>
      <c r="M33" s="63"/>
      <c r="N33" s="64"/>
      <c r="O33" s="77">
        <f>O147</f>
        <v>1111000</v>
      </c>
      <c r="P33" s="1"/>
    </row>
    <row r="34" ht="15.75" customHeight="1">
      <c r="A34" s="1"/>
      <c r="B34" s="68" t="str">
        <f>B149</f>
        <v>#REF!</v>
      </c>
      <c r="C34" s="69"/>
      <c r="D34" s="70"/>
      <c r="E34" s="78">
        <f>E160</f>
        <v>2120000</v>
      </c>
      <c r="F34" s="72"/>
      <c r="G34" s="62" t="str">
        <f t="shared" si="4"/>
        <v>#REF!</v>
      </c>
      <c r="H34" s="63"/>
      <c r="I34" s="64"/>
      <c r="J34" s="79">
        <f>J160</f>
        <v>1652320</v>
      </c>
      <c r="K34" s="4"/>
      <c r="L34" s="62" t="str">
        <f t="shared" si="5"/>
        <v>#REF!</v>
      </c>
      <c r="M34" s="63"/>
      <c r="N34" s="64"/>
      <c r="O34" s="79">
        <f>O160</f>
        <v>1464000</v>
      </c>
      <c r="P34" s="1"/>
    </row>
    <row r="35" ht="15.75" customHeight="1">
      <c r="A35" s="1"/>
      <c r="B35" s="80" t="str">
        <f>B162</f>
        <v>#REF!</v>
      </c>
      <c r="C35" s="81"/>
      <c r="D35" s="82"/>
      <c r="E35" s="83">
        <f>E174</f>
        <v>375905200</v>
      </c>
      <c r="F35" s="72"/>
      <c r="G35" s="62" t="str">
        <f t="shared" si="4"/>
        <v>#REF!</v>
      </c>
      <c r="H35" s="63"/>
      <c r="I35" s="64"/>
      <c r="J35" s="84">
        <f>J174</f>
        <v>380686745</v>
      </c>
      <c r="K35" s="4"/>
      <c r="L35" s="62" t="str">
        <f t="shared" si="5"/>
        <v>#REF!</v>
      </c>
      <c r="M35" s="63"/>
      <c r="N35" s="64"/>
      <c r="O35" s="84">
        <f>O174</f>
        <v>363914100</v>
      </c>
      <c r="P35" s="1"/>
    </row>
    <row r="36" ht="18.75" customHeight="1">
      <c r="A36" s="85"/>
      <c r="B36" s="86" t="s">
        <v>29</v>
      </c>
      <c r="C36" s="87"/>
      <c r="D36" s="88"/>
      <c r="E36" s="89">
        <f>SUM(E30:E35)</f>
        <v>417523721</v>
      </c>
      <c r="F36" s="66"/>
      <c r="G36" s="86" t="s">
        <v>29</v>
      </c>
      <c r="H36" s="87"/>
      <c r="I36" s="88"/>
      <c r="J36" s="89">
        <f>SUM(J30:J35)</f>
        <v>422268868</v>
      </c>
      <c r="K36" s="85"/>
      <c r="L36" s="86" t="s">
        <v>29</v>
      </c>
      <c r="M36" s="87"/>
      <c r="N36" s="88"/>
      <c r="O36" s="89">
        <f>SUM(O30:O35)</f>
        <v>404659719</v>
      </c>
      <c r="P36" s="1"/>
    </row>
    <row r="37" ht="24.0" customHeight="1">
      <c r="A37" s="85"/>
      <c r="B37" s="90" t="s">
        <v>30</v>
      </c>
      <c r="C37" s="91"/>
      <c r="D37" s="92"/>
      <c r="E37" s="93">
        <f>E27-E36</f>
        <v>16451279</v>
      </c>
      <c r="F37" s="94"/>
      <c r="G37" s="90" t="s">
        <v>30</v>
      </c>
      <c r="H37" s="91"/>
      <c r="I37" s="92"/>
      <c r="J37" s="93">
        <f>J27-J36</f>
        <v>15131132</v>
      </c>
      <c r="K37" s="95"/>
      <c r="L37" s="90" t="s">
        <v>30</v>
      </c>
      <c r="M37" s="91"/>
      <c r="N37" s="92"/>
      <c r="O37" s="93">
        <f>O27-O36</f>
        <v>40815281</v>
      </c>
      <c r="P37" s="85"/>
    </row>
    <row r="38" ht="18.75" customHeight="1">
      <c r="A38" s="1"/>
      <c r="B38" s="96"/>
      <c r="C38" s="96"/>
      <c r="D38" s="96"/>
      <c r="E38" s="97"/>
      <c r="F38" s="66"/>
      <c r="G38" s="1"/>
      <c r="H38" s="1"/>
      <c r="I38" s="1"/>
      <c r="J38" s="98"/>
      <c r="K38" s="1"/>
      <c r="L38" s="96"/>
      <c r="M38" s="96"/>
      <c r="N38" s="96"/>
      <c r="O38" s="97"/>
      <c r="P38" s="1"/>
    </row>
    <row r="39" ht="27.0" customHeight="1">
      <c r="A39" s="4"/>
      <c r="B39" s="99" t="s">
        <v>31</v>
      </c>
      <c r="C39" s="87"/>
      <c r="D39" s="87"/>
      <c r="E39" s="88"/>
      <c r="F39" s="66"/>
      <c r="G39" s="99" t="s">
        <v>31</v>
      </c>
      <c r="H39" s="87"/>
      <c r="I39" s="87"/>
      <c r="J39" s="88"/>
      <c r="K39" s="4"/>
      <c r="L39" s="99" t="s">
        <v>31</v>
      </c>
      <c r="M39" s="87"/>
      <c r="N39" s="87"/>
      <c r="O39" s="88"/>
      <c r="P39" s="100"/>
    </row>
    <row r="40" ht="23.25" customHeight="1">
      <c r="A40" s="101" t="s">
        <v>32</v>
      </c>
      <c r="B40" s="102" t="str">
        <f>'🏦COVER🏦'!D11</f>
        <v>#REF!</v>
      </c>
      <c r="C40" s="103" t="s">
        <v>5</v>
      </c>
      <c r="D40" s="103" t="s">
        <v>6</v>
      </c>
      <c r="E40" s="104" t="s">
        <v>7</v>
      </c>
      <c r="F40" s="66"/>
      <c r="G40" s="102" t="str">
        <f>B40</f>
        <v>#REF!</v>
      </c>
      <c r="H40" s="103" t="s">
        <v>5</v>
      </c>
      <c r="I40" s="103" t="s">
        <v>6</v>
      </c>
      <c r="J40" s="104" t="s">
        <v>7</v>
      </c>
      <c r="K40" s="1"/>
      <c r="L40" s="102" t="str">
        <f>G40</f>
        <v>#REF!</v>
      </c>
      <c r="M40" s="103" t="s">
        <v>5</v>
      </c>
      <c r="N40" s="103" t="s">
        <v>6</v>
      </c>
      <c r="O40" s="104" t="s">
        <v>7</v>
      </c>
      <c r="P40" s="1"/>
    </row>
    <row r="41" ht="15.75" customHeight="1">
      <c r="A41" s="4"/>
      <c r="B41" s="105" t="s">
        <v>33</v>
      </c>
      <c r="C41" s="106">
        <v>15000.0</v>
      </c>
      <c r="D41" s="107">
        <v>39.0</v>
      </c>
      <c r="E41" s="108">
        <f t="shared" ref="E41:E71" si="6">C41*D41</f>
        <v>585000</v>
      </c>
      <c r="F41" s="66" t="str">
        <f t="shared" ref="F41:F42" si="7">G41</f>
        <v>Lanyard CDT</v>
      </c>
      <c r="G41" s="105" t="s">
        <v>33</v>
      </c>
      <c r="H41" s="106">
        <v>10000.0</v>
      </c>
      <c r="I41" s="107">
        <v>39.0</v>
      </c>
      <c r="J41" s="108">
        <f t="shared" ref="J41:J78" si="8">H41*I41</f>
        <v>390000</v>
      </c>
      <c r="K41" s="4"/>
      <c r="L41" s="105" t="s">
        <v>33</v>
      </c>
      <c r="M41" s="106">
        <v>9000.0</v>
      </c>
      <c r="N41" s="107">
        <v>39.0</v>
      </c>
      <c r="O41" s="109">
        <f t="shared" ref="O41:O71" si="9">M41*N41</f>
        <v>351000</v>
      </c>
      <c r="P41" s="1"/>
    </row>
    <row r="42" ht="15.75" customHeight="1">
      <c r="A42" s="4"/>
      <c r="B42" s="110" t="s">
        <v>34</v>
      </c>
      <c r="C42" s="106">
        <v>80000.0</v>
      </c>
      <c r="D42" s="107">
        <v>39.0</v>
      </c>
      <c r="E42" s="111">
        <f t="shared" si="6"/>
        <v>3120000</v>
      </c>
      <c r="F42" s="66" t="str">
        <f t="shared" si="7"/>
        <v>Baju CDT</v>
      </c>
      <c r="G42" s="110" t="s">
        <v>34</v>
      </c>
      <c r="H42" s="106">
        <v>80000.0</v>
      </c>
      <c r="I42" s="107">
        <v>39.0</v>
      </c>
      <c r="J42" s="109">
        <f t="shared" si="8"/>
        <v>3120000</v>
      </c>
      <c r="K42" s="4"/>
      <c r="L42" s="110" t="s">
        <v>34</v>
      </c>
      <c r="M42" s="106">
        <v>80000.0</v>
      </c>
      <c r="N42" s="107">
        <v>39.0</v>
      </c>
      <c r="O42" s="109">
        <f t="shared" si="9"/>
        <v>3120000</v>
      </c>
      <c r="P42" s="1"/>
    </row>
    <row r="43" ht="15.75" customHeight="1">
      <c r="A43" s="4"/>
      <c r="B43" s="110" t="s">
        <v>35</v>
      </c>
      <c r="C43" s="106">
        <v>70000.0</v>
      </c>
      <c r="D43" s="107">
        <v>45.0</v>
      </c>
      <c r="E43" s="111">
        <f t="shared" si="6"/>
        <v>3150000</v>
      </c>
      <c r="F43" s="66"/>
      <c r="G43" s="110" t="s">
        <v>35</v>
      </c>
      <c r="H43" s="106">
        <v>70000.0</v>
      </c>
      <c r="I43" s="107">
        <v>45.0</v>
      </c>
      <c r="J43" s="109">
        <f t="shared" si="8"/>
        <v>3150000</v>
      </c>
      <c r="K43" s="4"/>
      <c r="L43" s="110" t="s">
        <v>35</v>
      </c>
      <c r="M43" s="106">
        <v>70000.0</v>
      </c>
      <c r="N43" s="107">
        <v>45.0</v>
      </c>
      <c r="O43" s="109">
        <f t="shared" si="9"/>
        <v>3150000</v>
      </c>
      <c r="P43" s="1"/>
    </row>
    <row r="44" ht="15.75" customHeight="1">
      <c r="A44" s="4"/>
      <c r="B44" s="110" t="s">
        <v>12</v>
      </c>
      <c r="C44" s="106">
        <v>45000.0</v>
      </c>
      <c r="D44" s="107">
        <v>15.0</v>
      </c>
      <c r="E44" s="109">
        <f t="shared" si="6"/>
        <v>675000</v>
      </c>
      <c r="F44" s="66" t="str">
        <f t="shared" ref="F44:F45" si="10">G44</f>
        <v>[Merchandise] Baseball Cap</v>
      </c>
      <c r="G44" s="110" t="s">
        <v>12</v>
      </c>
      <c r="H44" s="106">
        <v>40000.0</v>
      </c>
      <c r="I44" s="107">
        <v>25.0</v>
      </c>
      <c r="J44" s="109">
        <f t="shared" si="8"/>
        <v>1000000</v>
      </c>
      <c r="K44" s="4"/>
      <c r="L44" s="110" t="s">
        <v>12</v>
      </c>
      <c r="M44" s="106">
        <v>35000.0</v>
      </c>
      <c r="N44" s="107">
        <v>35.0</v>
      </c>
      <c r="O44" s="109">
        <f t="shared" si="9"/>
        <v>1225000</v>
      </c>
      <c r="P44" s="1"/>
    </row>
    <row r="45" ht="15.75" customHeight="1">
      <c r="A45" s="4"/>
      <c r="B45" s="110" t="s">
        <v>13</v>
      </c>
      <c r="C45" s="106">
        <v>135000.0</v>
      </c>
      <c r="D45" s="107">
        <v>5.0</v>
      </c>
      <c r="E45" s="109">
        <f t="shared" si="6"/>
        <v>675000</v>
      </c>
      <c r="F45" s="66" t="str">
        <f t="shared" si="10"/>
        <v>[Merchandise] Baseball Shirt</v>
      </c>
      <c r="G45" s="110" t="s">
        <v>13</v>
      </c>
      <c r="H45" s="106">
        <v>120000.0</v>
      </c>
      <c r="I45" s="107">
        <v>25.0</v>
      </c>
      <c r="J45" s="109">
        <f t="shared" si="8"/>
        <v>3000000</v>
      </c>
      <c r="K45" s="4"/>
      <c r="L45" s="110" t="s">
        <v>13</v>
      </c>
      <c r="M45" s="106">
        <v>100000.0</v>
      </c>
      <c r="N45" s="107">
        <v>35.0</v>
      </c>
      <c r="O45" s="109">
        <f t="shared" si="9"/>
        <v>3500000</v>
      </c>
      <c r="P45" s="1"/>
    </row>
    <row r="46" ht="15.75" customHeight="1">
      <c r="A46" s="4"/>
      <c r="B46" s="110" t="s">
        <v>14</v>
      </c>
      <c r="C46" s="106">
        <v>85000.0</v>
      </c>
      <c r="D46" s="107">
        <v>5.0</v>
      </c>
      <c r="E46" s="109">
        <f t="shared" si="6"/>
        <v>425000</v>
      </c>
      <c r="F46" s="66"/>
      <c r="G46" s="110" t="s">
        <v>14</v>
      </c>
      <c r="H46" s="106">
        <v>80000.0</v>
      </c>
      <c r="I46" s="107">
        <v>10.0</v>
      </c>
      <c r="J46" s="109">
        <f t="shared" si="8"/>
        <v>800000</v>
      </c>
      <c r="K46" s="4"/>
      <c r="L46" s="110" t="s">
        <v>14</v>
      </c>
      <c r="M46" s="106">
        <v>70000.0</v>
      </c>
      <c r="N46" s="107">
        <v>15.0</v>
      </c>
      <c r="O46" s="109">
        <f t="shared" si="9"/>
        <v>1050000</v>
      </c>
      <c r="P46" s="1"/>
    </row>
    <row r="47" ht="15.75" customHeight="1">
      <c r="A47" s="4"/>
      <c r="B47" s="110" t="s">
        <v>18</v>
      </c>
      <c r="C47" s="106">
        <v>6000.0</v>
      </c>
      <c r="D47" s="107">
        <v>110.0</v>
      </c>
      <c r="E47" s="109">
        <f t="shared" si="6"/>
        <v>660000</v>
      </c>
      <c r="F47" s="66"/>
      <c r="G47" s="110" t="s">
        <v>18</v>
      </c>
      <c r="H47" s="106">
        <v>6000.0</v>
      </c>
      <c r="I47" s="107">
        <v>135.0</v>
      </c>
      <c r="J47" s="109">
        <f t="shared" si="8"/>
        <v>810000</v>
      </c>
      <c r="K47" s="4"/>
      <c r="L47" s="110" t="s">
        <v>18</v>
      </c>
      <c r="M47" s="106">
        <v>6000.0</v>
      </c>
      <c r="N47" s="107">
        <v>160.0</v>
      </c>
      <c r="O47" s="109">
        <f t="shared" si="9"/>
        <v>960000</v>
      </c>
      <c r="P47" s="1"/>
    </row>
    <row r="48" ht="15.75" customHeight="1">
      <c r="A48" s="4"/>
      <c r="B48" s="110" t="s">
        <v>16</v>
      </c>
      <c r="C48" s="106">
        <v>8000.0</v>
      </c>
      <c r="D48" s="107">
        <v>110.0</v>
      </c>
      <c r="E48" s="109">
        <f t="shared" si="6"/>
        <v>880000</v>
      </c>
      <c r="F48" s="66"/>
      <c r="G48" s="110" t="s">
        <v>16</v>
      </c>
      <c r="H48" s="106">
        <v>7000.0</v>
      </c>
      <c r="I48" s="107">
        <v>135.0</v>
      </c>
      <c r="J48" s="109">
        <f t="shared" si="8"/>
        <v>945000</v>
      </c>
      <c r="K48" s="4"/>
      <c r="L48" s="110" t="s">
        <v>16</v>
      </c>
      <c r="M48" s="106">
        <v>6500.0</v>
      </c>
      <c r="N48" s="107">
        <v>160.0</v>
      </c>
      <c r="O48" s="109">
        <f t="shared" si="9"/>
        <v>1040000</v>
      </c>
      <c r="P48" s="1"/>
    </row>
    <row r="49" ht="15.75" customHeight="1">
      <c r="A49" s="4"/>
      <c r="B49" s="110" t="s">
        <v>36</v>
      </c>
      <c r="C49" s="106">
        <v>7000.0</v>
      </c>
      <c r="D49" s="107">
        <v>5.0</v>
      </c>
      <c r="E49" s="109">
        <f t="shared" si="6"/>
        <v>35000</v>
      </c>
      <c r="F49" s="66"/>
      <c r="G49" s="110" t="s">
        <v>36</v>
      </c>
      <c r="H49" s="106">
        <v>6000.0</v>
      </c>
      <c r="I49" s="107">
        <v>10.0</v>
      </c>
      <c r="J49" s="109">
        <f t="shared" si="8"/>
        <v>60000</v>
      </c>
      <c r="K49" s="4"/>
      <c r="L49" s="110" t="s">
        <v>36</v>
      </c>
      <c r="M49" s="106">
        <v>5000.0</v>
      </c>
      <c r="N49" s="107">
        <v>15.0</v>
      </c>
      <c r="O49" s="109">
        <f t="shared" si="9"/>
        <v>75000</v>
      </c>
      <c r="P49" s="1"/>
    </row>
    <row r="50" ht="15.75" customHeight="1">
      <c r="A50" s="4"/>
      <c r="B50" s="110" t="s">
        <v>15</v>
      </c>
      <c r="C50" s="106">
        <v>8000.0</v>
      </c>
      <c r="D50" s="107">
        <v>59.0</v>
      </c>
      <c r="E50" s="109">
        <f t="shared" si="6"/>
        <v>472000</v>
      </c>
      <c r="F50" s="66"/>
      <c r="G50" s="110" t="s">
        <v>15</v>
      </c>
      <c r="H50" s="106">
        <v>5000.0</v>
      </c>
      <c r="I50" s="107">
        <v>70.0</v>
      </c>
      <c r="J50" s="109">
        <f t="shared" si="8"/>
        <v>350000</v>
      </c>
      <c r="K50" s="4"/>
      <c r="L50" s="110" t="s">
        <v>15</v>
      </c>
      <c r="M50" s="106">
        <v>4000.0</v>
      </c>
      <c r="N50" s="107">
        <v>88.0</v>
      </c>
      <c r="O50" s="109">
        <f t="shared" si="9"/>
        <v>352000</v>
      </c>
      <c r="P50" s="1"/>
    </row>
    <row r="51" ht="30.0" customHeight="1">
      <c r="A51" s="4"/>
      <c r="B51" s="175" t="s">
        <v>142</v>
      </c>
      <c r="C51" s="106">
        <v>10000.0</v>
      </c>
      <c r="D51" s="107">
        <v>5.0</v>
      </c>
      <c r="E51" s="109">
        <f t="shared" si="6"/>
        <v>50000</v>
      </c>
      <c r="F51" s="66"/>
      <c r="G51" s="175" t="s">
        <v>142</v>
      </c>
      <c r="H51" s="106">
        <v>7000.0</v>
      </c>
      <c r="I51" s="107">
        <v>7.0</v>
      </c>
      <c r="J51" s="109">
        <f t="shared" si="8"/>
        <v>49000</v>
      </c>
      <c r="K51" s="4"/>
      <c r="L51" s="175" t="s">
        <v>142</v>
      </c>
      <c r="M51" s="106">
        <v>5000.0</v>
      </c>
      <c r="N51" s="107">
        <v>10.0</v>
      </c>
      <c r="O51" s="109">
        <f t="shared" si="9"/>
        <v>50000</v>
      </c>
      <c r="P51" s="1"/>
    </row>
    <row r="52" ht="15.75" customHeight="1">
      <c r="A52" s="4"/>
      <c r="B52" s="110" t="s">
        <v>143</v>
      </c>
      <c r="C52" s="106">
        <v>10000.0</v>
      </c>
      <c r="D52" s="107">
        <v>2.0</v>
      </c>
      <c r="E52" s="109">
        <f t="shared" si="6"/>
        <v>20000</v>
      </c>
      <c r="F52" s="66"/>
      <c r="G52" s="110" t="s">
        <v>143</v>
      </c>
      <c r="H52" s="106">
        <v>9000.0</v>
      </c>
      <c r="I52" s="107">
        <v>2.0</v>
      </c>
      <c r="J52" s="109">
        <f t="shared" si="8"/>
        <v>18000</v>
      </c>
      <c r="K52" s="4"/>
      <c r="L52" s="110" t="s">
        <v>143</v>
      </c>
      <c r="M52" s="106">
        <v>7000.0</v>
      </c>
      <c r="N52" s="107">
        <v>2.0</v>
      </c>
      <c r="O52" s="109">
        <f t="shared" si="9"/>
        <v>14000</v>
      </c>
      <c r="P52" s="1"/>
    </row>
    <row r="53" ht="15.75" customHeight="1">
      <c r="A53" s="4"/>
      <c r="B53" s="110" t="s">
        <v>37</v>
      </c>
      <c r="C53" s="106">
        <v>22999.0</v>
      </c>
      <c r="D53" s="107">
        <v>2.0</v>
      </c>
      <c r="E53" s="109">
        <f t="shared" si="6"/>
        <v>45998</v>
      </c>
      <c r="F53" s="66"/>
      <c r="G53" s="110" t="s">
        <v>37</v>
      </c>
      <c r="H53" s="106">
        <v>22999.0</v>
      </c>
      <c r="I53" s="107">
        <v>3.0</v>
      </c>
      <c r="J53" s="109">
        <f t="shared" si="8"/>
        <v>68997</v>
      </c>
      <c r="K53" s="4"/>
      <c r="L53" s="110" t="s">
        <v>37</v>
      </c>
      <c r="M53" s="106">
        <v>22999.0</v>
      </c>
      <c r="N53" s="107">
        <v>4.0</v>
      </c>
      <c r="O53" s="109">
        <f t="shared" si="9"/>
        <v>91996</v>
      </c>
      <c r="P53" s="1"/>
    </row>
    <row r="54" ht="15.75" customHeight="1">
      <c r="A54" s="4"/>
      <c r="B54" s="110" t="s">
        <v>38</v>
      </c>
      <c r="C54" s="106">
        <v>15000.0</v>
      </c>
      <c r="D54" s="107">
        <v>5.0</v>
      </c>
      <c r="E54" s="109">
        <f t="shared" si="6"/>
        <v>75000</v>
      </c>
      <c r="F54" s="66"/>
      <c r="G54" s="110" t="s">
        <v>38</v>
      </c>
      <c r="H54" s="106">
        <v>14000.0</v>
      </c>
      <c r="I54" s="107">
        <v>8.0</v>
      </c>
      <c r="J54" s="109">
        <f t="shared" si="8"/>
        <v>112000</v>
      </c>
      <c r="K54" s="4"/>
      <c r="L54" s="110" t="s">
        <v>38</v>
      </c>
      <c r="M54" s="106">
        <v>12700.0</v>
      </c>
      <c r="N54" s="107">
        <v>10.0</v>
      </c>
      <c r="O54" s="109">
        <f t="shared" si="9"/>
        <v>127000</v>
      </c>
      <c r="P54" s="1"/>
    </row>
    <row r="55" ht="15.75" customHeight="1">
      <c r="A55" s="4"/>
      <c r="B55" s="110" t="s">
        <v>39</v>
      </c>
      <c r="C55" s="106">
        <v>44200.0</v>
      </c>
      <c r="D55" s="107">
        <v>5.0</v>
      </c>
      <c r="E55" s="109">
        <f t="shared" si="6"/>
        <v>221000</v>
      </c>
      <c r="F55" s="66"/>
      <c r="G55" s="110" t="s">
        <v>39</v>
      </c>
      <c r="H55" s="106">
        <v>43500.0</v>
      </c>
      <c r="I55" s="107">
        <v>5.0</v>
      </c>
      <c r="J55" s="109">
        <f t="shared" si="8"/>
        <v>217500</v>
      </c>
      <c r="K55" s="4"/>
      <c r="L55" s="110" t="s">
        <v>39</v>
      </c>
      <c r="M55" s="106">
        <v>37600.0</v>
      </c>
      <c r="N55" s="107">
        <v>5.0</v>
      </c>
      <c r="O55" s="109">
        <f t="shared" si="9"/>
        <v>188000</v>
      </c>
      <c r="P55" s="1"/>
    </row>
    <row r="56" ht="15.75" customHeight="1">
      <c r="A56" s="4"/>
      <c r="B56" s="110" t="s">
        <v>40</v>
      </c>
      <c r="C56" s="106">
        <v>22000.0</v>
      </c>
      <c r="D56" s="107">
        <v>5.0</v>
      </c>
      <c r="E56" s="109">
        <f t="shared" si="6"/>
        <v>110000</v>
      </c>
      <c r="F56" s="66"/>
      <c r="G56" s="110" t="s">
        <v>40</v>
      </c>
      <c r="H56" s="106">
        <v>20600.0</v>
      </c>
      <c r="I56" s="107">
        <v>7.0</v>
      </c>
      <c r="J56" s="109">
        <f t="shared" si="8"/>
        <v>144200</v>
      </c>
      <c r="K56" s="4"/>
      <c r="L56" s="110" t="s">
        <v>40</v>
      </c>
      <c r="M56" s="106">
        <v>18800.0</v>
      </c>
      <c r="N56" s="107">
        <v>10.0</v>
      </c>
      <c r="O56" s="109">
        <f t="shared" si="9"/>
        <v>188000</v>
      </c>
      <c r="P56" s="1"/>
    </row>
    <row r="57" ht="15.75" customHeight="1">
      <c r="A57" s="4"/>
      <c r="B57" s="110" t="s">
        <v>41</v>
      </c>
      <c r="C57" s="106">
        <v>8250.0</v>
      </c>
      <c r="D57" s="107">
        <v>5.0</v>
      </c>
      <c r="E57" s="109">
        <f t="shared" si="6"/>
        <v>41250</v>
      </c>
      <c r="F57" s="66"/>
      <c r="G57" s="110" t="s">
        <v>41</v>
      </c>
      <c r="H57" s="106">
        <v>8000.0</v>
      </c>
      <c r="I57" s="107">
        <v>5.0</v>
      </c>
      <c r="J57" s="109">
        <f t="shared" si="8"/>
        <v>40000</v>
      </c>
      <c r="K57" s="4"/>
      <c r="L57" s="110" t="s">
        <v>41</v>
      </c>
      <c r="M57" s="106">
        <v>6700.0</v>
      </c>
      <c r="N57" s="107">
        <v>5.0</v>
      </c>
      <c r="O57" s="109">
        <f t="shared" si="9"/>
        <v>33500</v>
      </c>
      <c r="P57" s="1"/>
    </row>
    <row r="58" ht="15.75" customHeight="1">
      <c r="A58" s="4"/>
      <c r="B58" s="110" t="s">
        <v>42</v>
      </c>
      <c r="C58" s="106">
        <v>23400.0</v>
      </c>
      <c r="D58" s="107">
        <v>2.0</v>
      </c>
      <c r="E58" s="109">
        <f t="shared" si="6"/>
        <v>46800</v>
      </c>
      <c r="F58" s="66"/>
      <c r="G58" s="110" t="s">
        <v>42</v>
      </c>
      <c r="H58" s="106">
        <v>23000.0</v>
      </c>
      <c r="I58" s="107">
        <v>4.0</v>
      </c>
      <c r="J58" s="109">
        <f t="shared" si="8"/>
        <v>92000</v>
      </c>
      <c r="K58" s="4"/>
      <c r="L58" s="110" t="s">
        <v>42</v>
      </c>
      <c r="M58" s="106">
        <v>22000.0</v>
      </c>
      <c r="N58" s="107">
        <v>5.0</v>
      </c>
      <c r="O58" s="109">
        <f t="shared" si="9"/>
        <v>110000</v>
      </c>
      <c r="P58" s="1"/>
    </row>
    <row r="59" ht="15.75" customHeight="1">
      <c r="A59" s="4"/>
      <c r="B59" s="110" t="s">
        <v>43</v>
      </c>
      <c r="C59" s="106">
        <v>23500.0</v>
      </c>
      <c r="D59" s="107">
        <v>2.0</v>
      </c>
      <c r="E59" s="109">
        <f t="shared" si="6"/>
        <v>47000</v>
      </c>
      <c r="F59" s="66"/>
      <c r="G59" s="110" t="s">
        <v>43</v>
      </c>
      <c r="H59" s="106">
        <v>22500.0</v>
      </c>
      <c r="I59" s="107">
        <v>4.0</v>
      </c>
      <c r="J59" s="109">
        <f t="shared" si="8"/>
        <v>90000</v>
      </c>
      <c r="K59" s="4"/>
      <c r="L59" s="110" t="s">
        <v>43</v>
      </c>
      <c r="M59" s="106">
        <v>20990.0</v>
      </c>
      <c r="N59" s="107">
        <v>5.0</v>
      </c>
      <c r="O59" s="109">
        <f t="shared" si="9"/>
        <v>104950</v>
      </c>
      <c r="P59" s="1"/>
    </row>
    <row r="60" ht="15.75" customHeight="1">
      <c r="A60" s="4"/>
      <c r="B60" s="110" t="s">
        <v>44</v>
      </c>
      <c r="C60" s="106">
        <v>12250.0</v>
      </c>
      <c r="D60" s="107">
        <v>2.0</v>
      </c>
      <c r="E60" s="109">
        <f t="shared" si="6"/>
        <v>24500</v>
      </c>
      <c r="F60" s="66"/>
      <c r="G60" s="110" t="s">
        <v>44</v>
      </c>
      <c r="H60" s="106">
        <v>10999.0</v>
      </c>
      <c r="I60" s="107">
        <v>4.0</v>
      </c>
      <c r="J60" s="109">
        <f t="shared" si="8"/>
        <v>43996</v>
      </c>
      <c r="K60" s="4"/>
      <c r="L60" s="110" t="s">
        <v>44</v>
      </c>
      <c r="M60" s="106">
        <v>10400.0</v>
      </c>
      <c r="N60" s="107">
        <v>5.0</v>
      </c>
      <c r="O60" s="109">
        <f t="shared" si="9"/>
        <v>52000</v>
      </c>
      <c r="P60" s="1"/>
    </row>
    <row r="61" ht="15.75" customHeight="1">
      <c r="A61" s="4"/>
      <c r="B61" s="110" t="s">
        <v>45</v>
      </c>
      <c r="C61" s="106">
        <v>11750.0</v>
      </c>
      <c r="D61" s="107">
        <v>5.0</v>
      </c>
      <c r="E61" s="109">
        <f t="shared" si="6"/>
        <v>58750</v>
      </c>
      <c r="F61" s="66"/>
      <c r="G61" s="110" t="s">
        <v>45</v>
      </c>
      <c r="H61" s="106">
        <v>11548.0</v>
      </c>
      <c r="I61" s="107">
        <v>5.0</v>
      </c>
      <c r="J61" s="109">
        <f t="shared" si="8"/>
        <v>57740</v>
      </c>
      <c r="K61" s="4"/>
      <c r="L61" s="110" t="s">
        <v>45</v>
      </c>
      <c r="M61" s="106">
        <v>10500.0</v>
      </c>
      <c r="N61" s="107">
        <v>5.0</v>
      </c>
      <c r="O61" s="109">
        <f t="shared" si="9"/>
        <v>52500</v>
      </c>
      <c r="P61" s="1"/>
    </row>
    <row r="62" ht="15.75" customHeight="1">
      <c r="A62" s="4"/>
      <c r="B62" s="110" t="s">
        <v>46</v>
      </c>
      <c r="C62" s="106">
        <v>3200.0</v>
      </c>
      <c r="D62" s="107">
        <v>20.0</v>
      </c>
      <c r="E62" s="109">
        <f t="shared" si="6"/>
        <v>64000</v>
      </c>
      <c r="F62" s="66"/>
      <c r="G62" s="110" t="s">
        <v>46</v>
      </c>
      <c r="H62" s="106">
        <v>3200.0</v>
      </c>
      <c r="I62" s="107">
        <v>30.0</v>
      </c>
      <c r="J62" s="109">
        <f t="shared" si="8"/>
        <v>96000</v>
      </c>
      <c r="K62" s="4"/>
      <c r="L62" s="110" t="s">
        <v>46</v>
      </c>
      <c r="M62" s="106">
        <v>3200.0</v>
      </c>
      <c r="N62" s="107">
        <v>35.0</v>
      </c>
      <c r="O62" s="109">
        <f t="shared" si="9"/>
        <v>112000</v>
      </c>
      <c r="P62" s="1"/>
    </row>
    <row r="63" ht="15.75" customHeight="1">
      <c r="A63" s="4"/>
      <c r="B63" s="110" t="s">
        <v>47</v>
      </c>
      <c r="C63" s="106">
        <v>2500.0</v>
      </c>
      <c r="D63" s="107">
        <v>20.0</v>
      </c>
      <c r="E63" s="109">
        <f t="shared" si="6"/>
        <v>50000</v>
      </c>
      <c r="F63" s="66"/>
      <c r="G63" s="110" t="s">
        <v>47</v>
      </c>
      <c r="H63" s="106">
        <v>2500.0</v>
      </c>
      <c r="I63" s="107">
        <v>30.0</v>
      </c>
      <c r="J63" s="109">
        <f t="shared" si="8"/>
        <v>75000</v>
      </c>
      <c r="K63" s="4"/>
      <c r="L63" s="110" t="s">
        <v>47</v>
      </c>
      <c r="M63" s="106">
        <v>2500.0</v>
      </c>
      <c r="N63" s="107">
        <v>35.0</v>
      </c>
      <c r="O63" s="109">
        <f t="shared" si="9"/>
        <v>87500</v>
      </c>
      <c r="P63" s="1"/>
    </row>
    <row r="64" ht="15.75" customHeight="1">
      <c r="A64" s="4"/>
      <c r="B64" s="110" t="s">
        <v>48</v>
      </c>
      <c r="C64" s="106">
        <v>2500.0</v>
      </c>
      <c r="D64" s="107">
        <v>20.0</v>
      </c>
      <c r="E64" s="109">
        <f t="shared" si="6"/>
        <v>50000</v>
      </c>
      <c r="F64" s="66"/>
      <c r="G64" s="110" t="s">
        <v>48</v>
      </c>
      <c r="H64" s="106">
        <v>2500.0</v>
      </c>
      <c r="I64" s="107">
        <v>30.0</v>
      </c>
      <c r="J64" s="109">
        <f t="shared" si="8"/>
        <v>75000</v>
      </c>
      <c r="K64" s="4"/>
      <c r="L64" s="110" t="s">
        <v>48</v>
      </c>
      <c r="M64" s="106">
        <v>2500.0</v>
      </c>
      <c r="N64" s="107">
        <v>35.0</v>
      </c>
      <c r="O64" s="109">
        <f t="shared" si="9"/>
        <v>87500</v>
      </c>
      <c r="P64" s="1"/>
    </row>
    <row r="65" ht="15.75" customHeight="1">
      <c r="A65" s="4"/>
      <c r="B65" s="110" t="s">
        <v>49</v>
      </c>
      <c r="C65" s="106">
        <v>2300.0</v>
      </c>
      <c r="D65" s="107">
        <v>20.0</v>
      </c>
      <c r="E65" s="109">
        <f t="shared" si="6"/>
        <v>46000</v>
      </c>
      <c r="F65" s="66"/>
      <c r="G65" s="110" t="s">
        <v>49</v>
      </c>
      <c r="H65" s="106">
        <v>2300.0</v>
      </c>
      <c r="I65" s="107">
        <v>30.0</v>
      </c>
      <c r="J65" s="109">
        <f t="shared" si="8"/>
        <v>69000</v>
      </c>
      <c r="K65" s="4"/>
      <c r="L65" s="110" t="s">
        <v>49</v>
      </c>
      <c r="M65" s="106">
        <v>2300.0</v>
      </c>
      <c r="N65" s="107">
        <v>35.0</v>
      </c>
      <c r="O65" s="109">
        <f t="shared" si="9"/>
        <v>80500</v>
      </c>
      <c r="P65" s="1"/>
    </row>
    <row r="66" ht="15.75" customHeight="1">
      <c r="A66" s="4"/>
      <c r="B66" s="110" t="s">
        <v>50</v>
      </c>
      <c r="C66" s="106">
        <v>27270.0</v>
      </c>
      <c r="D66" s="107">
        <v>3.0</v>
      </c>
      <c r="E66" s="109">
        <f t="shared" si="6"/>
        <v>81810</v>
      </c>
      <c r="F66" s="66"/>
      <c r="G66" s="110" t="s">
        <v>50</v>
      </c>
      <c r="H66" s="106">
        <v>26500.0</v>
      </c>
      <c r="I66" s="107">
        <v>5.0</v>
      </c>
      <c r="J66" s="109">
        <f t="shared" si="8"/>
        <v>132500</v>
      </c>
      <c r="K66" s="4"/>
      <c r="L66" s="110" t="s">
        <v>50</v>
      </c>
      <c r="M66" s="106">
        <v>23990.0</v>
      </c>
      <c r="N66" s="107">
        <v>7.0</v>
      </c>
      <c r="O66" s="109">
        <f t="shared" si="9"/>
        <v>167930</v>
      </c>
      <c r="P66" s="1"/>
    </row>
    <row r="67" ht="15.75" customHeight="1">
      <c r="A67" s="4"/>
      <c r="B67" s="110" t="s">
        <v>51</v>
      </c>
      <c r="C67" s="106">
        <v>50000.0</v>
      </c>
      <c r="D67" s="107">
        <v>323.0</v>
      </c>
      <c r="E67" s="109">
        <f t="shared" si="6"/>
        <v>16150000</v>
      </c>
      <c r="F67" s="66"/>
      <c r="G67" s="110" t="s">
        <v>51</v>
      </c>
      <c r="H67" s="106">
        <v>50000.0</v>
      </c>
      <c r="I67" s="107">
        <v>325.0</v>
      </c>
      <c r="J67" s="109">
        <f t="shared" si="8"/>
        <v>16250000</v>
      </c>
      <c r="K67" s="4"/>
      <c r="L67" s="110" t="s">
        <v>51</v>
      </c>
      <c r="M67" s="106">
        <v>50000.0</v>
      </c>
      <c r="N67" s="107">
        <v>330.0</v>
      </c>
      <c r="O67" s="109">
        <f t="shared" si="9"/>
        <v>16500000</v>
      </c>
      <c r="P67" s="1"/>
    </row>
    <row r="68" ht="15.75" customHeight="1">
      <c r="A68" s="4"/>
      <c r="B68" s="110" t="s">
        <v>52</v>
      </c>
      <c r="C68" s="106">
        <v>16500.0</v>
      </c>
      <c r="D68" s="107">
        <v>4.0</v>
      </c>
      <c r="E68" s="109">
        <f t="shared" si="6"/>
        <v>66000</v>
      </c>
      <c r="F68" s="66"/>
      <c r="G68" s="110" t="s">
        <v>52</v>
      </c>
      <c r="H68" s="106">
        <v>16500.0</v>
      </c>
      <c r="I68" s="107">
        <v>4.0</v>
      </c>
      <c r="J68" s="109">
        <f t="shared" si="8"/>
        <v>66000</v>
      </c>
      <c r="K68" s="4"/>
      <c r="L68" s="110" t="s">
        <v>52</v>
      </c>
      <c r="M68" s="106">
        <v>16500.0</v>
      </c>
      <c r="N68" s="107">
        <v>4.0</v>
      </c>
      <c r="O68" s="109">
        <f t="shared" si="9"/>
        <v>66000</v>
      </c>
      <c r="P68" s="1"/>
    </row>
    <row r="69" ht="15.75" customHeight="1">
      <c r="A69" s="4"/>
      <c r="B69" s="110" t="s">
        <v>53</v>
      </c>
      <c r="C69" s="106">
        <v>2500.0</v>
      </c>
      <c r="D69" s="107">
        <v>35.0</v>
      </c>
      <c r="E69" s="109">
        <f t="shared" si="6"/>
        <v>87500</v>
      </c>
      <c r="F69" s="66"/>
      <c r="G69" s="110" t="s">
        <v>53</v>
      </c>
      <c r="H69" s="106">
        <v>2500.0</v>
      </c>
      <c r="I69" s="107">
        <v>30.0</v>
      </c>
      <c r="J69" s="109">
        <f t="shared" si="8"/>
        <v>75000</v>
      </c>
      <c r="K69" s="4"/>
      <c r="L69" s="110" t="s">
        <v>53</v>
      </c>
      <c r="M69" s="106">
        <v>2500.0</v>
      </c>
      <c r="N69" s="107">
        <v>25.0</v>
      </c>
      <c r="O69" s="109">
        <f t="shared" si="9"/>
        <v>62500</v>
      </c>
      <c r="P69" s="1"/>
    </row>
    <row r="70" ht="15.75" customHeight="1">
      <c r="A70" s="4"/>
      <c r="B70" s="110" t="s">
        <v>54</v>
      </c>
      <c r="C70" s="106">
        <v>100000.0</v>
      </c>
      <c r="D70" s="112">
        <v>1.0</v>
      </c>
      <c r="E70" s="109">
        <f t="shared" si="6"/>
        <v>100000</v>
      </c>
      <c r="F70" s="66"/>
      <c r="G70" s="110" t="s">
        <v>54</v>
      </c>
      <c r="H70" s="106">
        <v>100000.0</v>
      </c>
      <c r="I70" s="107">
        <v>1.0</v>
      </c>
      <c r="J70" s="109">
        <f t="shared" si="8"/>
        <v>100000</v>
      </c>
      <c r="K70" s="4"/>
      <c r="L70" s="110" t="s">
        <v>54</v>
      </c>
      <c r="M70" s="106">
        <v>100000.0</v>
      </c>
      <c r="N70" s="107">
        <v>1.0</v>
      </c>
      <c r="O70" s="109">
        <f t="shared" si="9"/>
        <v>100000</v>
      </c>
      <c r="P70" s="1"/>
    </row>
    <row r="71" ht="15.75" customHeight="1">
      <c r="A71" s="4"/>
      <c r="B71" s="110" t="s">
        <v>55</v>
      </c>
      <c r="C71" s="106">
        <v>3000000.0</v>
      </c>
      <c r="D71" s="107">
        <v>1.0</v>
      </c>
      <c r="E71" s="109">
        <f t="shared" si="6"/>
        <v>3000000</v>
      </c>
      <c r="F71" s="66"/>
      <c r="G71" s="110" t="s">
        <v>55</v>
      </c>
      <c r="H71" s="106">
        <v>2000000.0</v>
      </c>
      <c r="I71" s="107">
        <v>1.0</v>
      </c>
      <c r="J71" s="109">
        <f t="shared" si="8"/>
        <v>2000000</v>
      </c>
      <c r="K71" s="4"/>
      <c r="L71" s="110" t="s">
        <v>55</v>
      </c>
      <c r="M71" s="106">
        <v>1500000.0</v>
      </c>
      <c r="N71" s="107">
        <v>1.0</v>
      </c>
      <c r="O71" s="109">
        <f t="shared" si="9"/>
        <v>1500000</v>
      </c>
      <c r="P71" s="1"/>
    </row>
    <row r="72" ht="15.75" hidden="1" customHeight="1">
      <c r="A72" s="1"/>
      <c r="B72" s="110" t="str">
        <f t="shared" ref="B72:B78" si="11">G72</f>
        <v/>
      </c>
      <c r="C72" s="106"/>
      <c r="D72" s="112"/>
      <c r="E72" s="109">
        <v>0.0</v>
      </c>
      <c r="F72" s="66" t="str">
        <f t="shared" ref="F72:F78" si="12">G72</f>
        <v/>
      </c>
      <c r="G72" s="113"/>
      <c r="H72" s="114"/>
      <c r="I72" s="115"/>
      <c r="J72" s="109">
        <f t="shared" si="8"/>
        <v>0</v>
      </c>
      <c r="K72" s="1"/>
      <c r="L72" s="110" t="str">
        <f t="shared" ref="L72:L78" si="13">G72</f>
        <v/>
      </c>
      <c r="M72" s="114"/>
      <c r="N72" s="115"/>
      <c r="O72" s="109">
        <v>0.0</v>
      </c>
      <c r="P72" s="1"/>
    </row>
    <row r="73" ht="15.75" hidden="1" customHeight="1">
      <c r="A73" s="1"/>
      <c r="B73" s="110" t="str">
        <f t="shared" si="11"/>
        <v/>
      </c>
      <c r="C73" s="106"/>
      <c r="D73" s="112"/>
      <c r="E73" s="109">
        <v>0.0</v>
      </c>
      <c r="F73" s="66" t="str">
        <f t="shared" si="12"/>
        <v/>
      </c>
      <c r="G73" s="116"/>
      <c r="H73" s="114"/>
      <c r="I73" s="115"/>
      <c r="J73" s="109">
        <f t="shared" si="8"/>
        <v>0</v>
      </c>
      <c r="K73" s="1"/>
      <c r="L73" s="110" t="str">
        <f t="shared" si="13"/>
        <v/>
      </c>
      <c r="M73" s="114"/>
      <c r="N73" s="115"/>
      <c r="O73" s="109">
        <v>0.0</v>
      </c>
      <c r="P73" s="1"/>
    </row>
    <row r="74" ht="15.75" hidden="1" customHeight="1">
      <c r="A74" s="1"/>
      <c r="B74" s="110" t="str">
        <f t="shared" si="11"/>
        <v/>
      </c>
      <c r="C74" s="114"/>
      <c r="D74" s="115"/>
      <c r="E74" s="109">
        <v>0.0</v>
      </c>
      <c r="F74" s="66" t="str">
        <f t="shared" si="12"/>
        <v/>
      </c>
      <c r="G74" s="113"/>
      <c r="H74" s="114"/>
      <c r="I74" s="115"/>
      <c r="J74" s="109">
        <f t="shared" si="8"/>
        <v>0</v>
      </c>
      <c r="K74" s="1"/>
      <c r="L74" s="110" t="str">
        <f t="shared" si="13"/>
        <v/>
      </c>
      <c r="M74" s="114"/>
      <c r="N74" s="115"/>
      <c r="O74" s="109">
        <v>0.0</v>
      </c>
      <c r="P74" s="1"/>
    </row>
    <row r="75" ht="15.75" hidden="1" customHeight="1">
      <c r="A75" s="1"/>
      <c r="B75" s="110" t="str">
        <f t="shared" si="11"/>
        <v/>
      </c>
      <c r="C75" s="114"/>
      <c r="D75" s="115"/>
      <c r="E75" s="109">
        <v>0.0</v>
      </c>
      <c r="F75" s="66" t="str">
        <f t="shared" si="12"/>
        <v/>
      </c>
      <c r="G75" s="116"/>
      <c r="H75" s="114"/>
      <c r="I75" s="115"/>
      <c r="J75" s="109">
        <f t="shared" si="8"/>
        <v>0</v>
      </c>
      <c r="K75" s="1"/>
      <c r="L75" s="110" t="str">
        <f t="shared" si="13"/>
        <v/>
      </c>
      <c r="M75" s="114"/>
      <c r="N75" s="115"/>
      <c r="O75" s="109">
        <v>0.0</v>
      </c>
      <c r="P75" s="1"/>
    </row>
    <row r="76" ht="15.75" hidden="1" customHeight="1">
      <c r="A76" s="1"/>
      <c r="B76" s="110" t="str">
        <f t="shared" si="11"/>
        <v/>
      </c>
      <c r="C76" s="114"/>
      <c r="D76" s="115"/>
      <c r="E76" s="109">
        <v>0.0</v>
      </c>
      <c r="F76" s="66" t="str">
        <f t="shared" si="12"/>
        <v/>
      </c>
      <c r="G76" s="113"/>
      <c r="H76" s="114"/>
      <c r="I76" s="115"/>
      <c r="J76" s="109">
        <f t="shared" si="8"/>
        <v>0</v>
      </c>
      <c r="K76" s="1"/>
      <c r="L76" s="110" t="str">
        <f t="shared" si="13"/>
        <v/>
      </c>
      <c r="M76" s="114"/>
      <c r="N76" s="115"/>
      <c r="O76" s="109">
        <v>0.0</v>
      </c>
      <c r="P76" s="1"/>
    </row>
    <row r="77" ht="15.75" hidden="1" customHeight="1">
      <c r="A77" s="1"/>
      <c r="B77" s="110" t="str">
        <f t="shared" si="11"/>
        <v/>
      </c>
      <c r="C77" s="114"/>
      <c r="D77" s="117"/>
      <c r="E77" s="109">
        <v>0.0</v>
      </c>
      <c r="F77" s="66" t="str">
        <f t="shared" si="12"/>
        <v/>
      </c>
      <c r="G77" s="113"/>
      <c r="H77" s="114"/>
      <c r="I77" s="117"/>
      <c r="J77" s="109">
        <f t="shared" si="8"/>
        <v>0</v>
      </c>
      <c r="K77" s="1"/>
      <c r="L77" s="110" t="str">
        <f t="shared" si="13"/>
        <v/>
      </c>
      <c r="M77" s="114"/>
      <c r="N77" s="117"/>
      <c r="O77" s="109">
        <v>0.0</v>
      </c>
      <c r="P77" s="1"/>
    </row>
    <row r="78" ht="15.75" hidden="1" customHeight="1">
      <c r="A78" s="1"/>
      <c r="B78" s="118" t="str">
        <f t="shared" si="11"/>
        <v/>
      </c>
      <c r="C78" s="119"/>
      <c r="D78" s="120"/>
      <c r="E78" s="109">
        <v>0.0</v>
      </c>
      <c r="F78" s="66" t="str">
        <f t="shared" si="12"/>
        <v/>
      </c>
      <c r="G78" s="118"/>
      <c r="H78" s="119"/>
      <c r="I78" s="121"/>
      <c r="J78" s="109">
        <f t="shared" si="8"/>
        <v>0</v>
      </c>
      <c r="K78" s="1"/>
      <c r="L78" s="118" t="str">
        <f t="shared" si="13"/>
        <v/>
      </c>
      <c r="M78" s="119"/>
      <c r="N78" s="121"/>
      <c r="O78" s="109">
        <v>0.0</v>
      </c>
      <c r="P78" s="1"/>
    </row>
    <row r="79" ht="18.75" customHeight="1">
      <c r="A79" s="4"/>
      <c r="B79" s="122" t="s">
        <v>56</v>
      </c>
      <c r="C79" s="87"/>
      <c r="D79" s="88"/>
      <c r="E79" s="123">
        <f>SUM(E41:E78)</f>
        <v>31112608</v>
      </c>
      <c r="F79" s="72"/>
      <c r="G79" s="122" t="s">
        <v>56</v>
      </c>
      <c r="H79" s="87"/>
      <c r="I79" s="88"/>
      <c r="J79" s="123">
        <f>SUM(J41:J78)</f>
        <v>33496933</v>
      </c>
      <c r="K79" s="4"/>
      <c r="L79" s="122" t="s">
        <v>56</v>
      </c>
      <c r="M79" s="87"/>
      <c r="N79" s="88"/>
      <c r="O79" s="123">
        <f>SUM(O41:O78)</f>
        <v>34598876</v>
      </c>
      <c r="P79" s="1"/>
    </row>
    <row r="80" ht="15.75" customHeight="1">
      <c r="A80" s="1"/>
      <c r="B80" s="1"/>
      <c r="C80" s="96"/>
      <c r="D80" s="96"/>
      <c r="E80" s="1"/>
      <c r="F80" s="66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23.25" customHeight="1">
      <c r="A81" s="1"/>
      <c r="B81" s="124" t="str">
        <f>'🏦COVER🏦'!D12</f>
        <v>#REF!</v>
      </c>
      <c r="C81" s="125" t="s">
        <v>5</v>
      </c>
      <c r="D81" s="125" t="s">
        <v>6</v>
      </c>
      <c r="E81" s="104" t="s">
        <v>7</v>
      </c>
      <c r="F81" s="66"/>
      <c r="G81" s="102" t="str">
        <f>B81</f>
        <v>#REF!</v>
      </c>
      <c r="H81" s="126" t="s">
        <v>5</v>
      </c>
      <c r="I81" s="126" t="s">
        <v>6</v>
      </c>
      <c r="J81" s="125" t="s">
        <v>7</v>
      </c>
      <c r="K81" s="1"/>
      <c r="L81" s="102" t="str">
        <f>B81</f>
        <v>#REF!</v>
      </c>
      <c r="M81" s="125" t="s">
        <v>5</v>
      </c>
      <c r="N81" s="125" t="s">
        <v>6</v>
      </c>
      <c r="O81" s="125" t="s">
        <v>7</v>
      </c>
      <c r="P81" s="1"/>
    </row>
    <row r="82" ht="13.5" customHeight="1">
      <c r="A82" s="4"/>
      <c r="B82" s="127" t="s">
        <v>57</v>
      </c>
      <c r="C82" s="128">
        <v>13000.0</v>
      </c>
      <c r="D82" s="129">
        <v>2.0</v>
      </c>
      <c r="E82" s="109">
        <f t="shared" ref="E82:E109" si="14">C82*D82</f>
        <v>26000</v>
      </c>
      <c r="F82" s="66" t="str">
        <f t="shared" ref="F82:F89" si="15">G82</f>
        <v>[CC Party] Amplop putih kecil</v>
      </c>
      <c r="G82" s="127" t="s">
        <v>57</v>
      </c>
      <c r="H82" s="128">
        <v>5150.0</v>
      </c>
      <c r="I82" s="129">
        <v>3.0</v>
      </c>
      <c r="J82" s="109">
        <f t="shared" ref="J82:J109" si="16">H82*I82</f>
        <v>15450</v>
      </c>
      <c r="K82" s="4"/>
      <c r="L82" s="127" t="s">
        <v>57</v>
      </c>
      <c r="M82" s="128">
        <v>4500.0</v>
      </c>
      <c r="N82" s="129">
        <v>3.0</v>
      </c>
      <c r="O82" s="130">
        <f t="shared" ref="O82:O109" si="17">M82*N82</f>
        <v>13500</v>
      </c>
      <c r="P82" s="1"/>
    </row>
    <row r="83" ht="13.5" customHeight="1">
      <c r="A83" s="4"/>
      <c r="B83" s="127" t="s">
        <v>58</v>
      </c>
      <c r="C83" s="131">
        <v>17000.0</v>
      </c>
      <c r="D83" s="107">
        <v>5.0</v>
      </c>
      <c r="E83" s="109">
        <f t="shared" si="14"/>
        <v>85000</v>
      </c>
      <c r="F83" s="66" t="str">
        <f t="shared" si="15"/>
        <v>[CC Party] Print puzzle (kertas karton)</v>
      </c>
      <c r="G83" s="127" t="s">
        <v>58</v>
      </c>
      <c r="H83" s="131">
        <v>15000.0</v>
      </c>
      <c r="I83" s="107">
        <v>5.0</v>
      </c>
      <c r="J83" s="109">
        <f t="shared" si="16"/>
        <v>75000</v>
      </c>
      <c r="K83" s="4"/>
      <c r="L83" s="127" t="s">
        <v>58</v>
      </c>
      <c r="M83" s="131">
        <v>10000.0</v>
      </c>
      <c r="N83" s="107">
        <v>5.0</v>
      </c>
      <c r="O83" s="130">
        <f t="shared" si="17"/>
        <v>50000</v>
      </c>
      <c r="P83" s="1"/>
    </row>
    <row r="84" ht="13.5" customHeight="1">
      <c r="A84" s="1"/>
      <c r="B84" s="127" t="s">
        <v>59</v>
      </c>
      <c r="C84" s="131">
        <v>2000.0</v>
      </c>
      <c r="D84" s="107">
        <v>20.0</v>
      </c>
      <c r="E84" s="109">
        <f t="shared" si="14"/>
        <v>40000</v>
      </c>
      <c r="F84" s="66" t="str">
        <f t="shared" si="15"/>
        <v>[CC Party] print card makanan</v>
      </c>
      <c r="G84" s="127" t="s">
        <v>59</v>
      </c>
      <c r="H84" s="131">
        <v>1500.0</v>
      </c>
      <c r="I84" s="107">
        <v>20.0</v>
      </c>
      <c r="J84" s="109">
        <f t="shared" si="16"/>
        <v>30000</v>
      </c>
      <c r="K84" s="4"/>
      <c r="L84" s="127" t="s">
        <v>59</v>
      </c>
      <c r="M84" s="131">
        <v>1000.0</v>
      </c>
      <c r="N84" s="107">
        <v>20.0</v>
      </c>
      <c r="O84" s="130">
        <f t="shared" si="17"/>
        <v>20000</v>
      </c>
      <c r="P84" s="1"/>
    </row>
    <row r="85" ht="13.5" customHeight="1">
      <c r="A85" s="1"/>
      <c r="B85" s="127" t="s">
        <v>60</v>
      </c>
      <c r="C85" s="131">
        <v>8000.0</v>
      </c>
      <c r="D85" s="107">
        <v>1.0</v>
      </c>
      <c r="E85" s="109">
        <f t="shared" si="14"/>
        <v>8000</v>
      </c>
      <c r="F85" s="66" t="str">
        <f t="shared" si="15"/>
        <v>[CC Party] Jahe</v>
      </c>
      <c r="G85" s="127" t="s">
        <v>60</v>
      </c>
      <c r="H85" s="131">
        <v>7000.0</v>
      </c>
      <c r="I85" s="107">
        <v>1.0</v>
      </c>
      <c r="J85" s="109">
        <f t="shared" si="16"/>
        <v>7000</v>
      </c>
      <c r="K85" s="1"/>
      <c r="L85" s="127" t="s">
        <v>60</v>
      </c>
      <c r="M85" s="131">
        <v>5000.0</v>
      </c>
      <c r="N85" s="107">
        <v>1.0</v>
      </c>
      <c r="O85" s="130">
        <f t="shared" si="17"/>
        <v>5000</v>
      </c>
      <c r="P85" s="1"/>
    </row>
    <row r="86" ht="13.5" customHeight="1">
      <c r="A86" s="1"/>
      <c r="B86" s="127" t="s">
        <v>61</v>
      </c>
      <c r="C86" s="131">
        <v>8000.0</v>
      </c>
      <c r="D86" s="107">
        <v>1.0</v>
      </c>
      <c r="E86" s="109">
        <f t="shared" si="14"/>
        <v>8000</v>
      </c>
      <c r="F86" s="66" t="str">
        <f t="shared" si="15"/>
        <v>[CC Party] Kunyit </v>
      </c>
      <c r="G86" s="127" t="s">
        <v>61</v>
      </c>
      <c r="H86" s="131">
        <v>7000.0</v>
      </c>
      <c r="I86" s="107">
        <v>1.0</v>
      </c>
      <c r="J86" s="109">
        <f t="shared" si="16"/>
        <v>7000</v>
      </c>
      <c r="K86" s="1"/>
      <c r="L86" s="127" t="s">
        <v>61</v>
      </c>
      <c r="M86" s="131">
        <v>5000.0</v>
      </c>
      <c r="N86" s="107">
        <v>1.0</v>
      </c>
      <c r="O86" s="130">
        <f t="shared" si="17"/>
        <v>5000</v>
      </c>
      <c r="P86" s="1"/>
    </row>
    <row r="87" ht="13.5" customHeight="1">
      <c r="A87" s="1"/>
      <c r="B87" s="127" t="s">
        <v>62</v>
      </c>
      <c r="C87" s="131">
        <v>8000.0</v>
      </c>
      <c r="D87" s="107">
        <v>1.0</v>
      </c>
      <c r="E87" s="109">
        <f t="shared" si="14"/>
        <v>8000</v>
      </c>
      <c r="F87" s="66" t="str">
        <f t="shared" si="15"/>
        <v>[CC Party] Lengkuas/Laos</v>
      </c>
      <c r="G87" s="127" t="s">
        <v>62</v>
      </c>
      <c r="H87" s="131">
        <v>7000.0</v>
      </c>
      <c r="I87" s="107">
        <v>1.0</v>
      </c>
      <c r="J87" s="109">
        <f t="shared" si="16"/>
        <v>7000</v>
      </c>
      <c r="K87" s="1"/>
      <c r="L87" s="127" t="s">
        <v>62</v>
      </c>
      <c r="M87" s="131">
        <v>5000.0</v>
      </c>
      <c r="N87" s="107">
        <v>1.0</v>
      </c>
      <c r="O87" s="130">
        <f t="shared" si="17"/>
        <v>5000</v>
      </c>
      <c r="P87" s="1"/>
    </row>
    <row r="88" ht="13.5" customHeight="1">
      <c r="A88" s="1"/>
      <c r="B88" s="127" t="s">
        <v>63</v>
      </c>
      <c r="C88" s="131">
        <v>10000.0</v>
      </c>
      <c r="D88" s="107">
        <v>1.0</v>
      </c>
      <c r="E88" s="109">
        <f t="shared" si="14"/>
        <v>10000</v>
      </c>
      <c r="F88" s="66" t="str">
        <f t="shared" si="15"/>
        <v>CC Party] Kencur</v>
      </c>
      <c r="G88" s="127" t="s">
        <v>144</v>
      </c>
      <c r="H88" s="131">
        <v>8000.0</v>
      </c>
      <c r="I88" s="107">
        <v>1.0</v>
      </c>
      <c r="J88" s="109">
        <f t="shared" si="16"/>
        <v>8000</v>
      </c>
      <c r="K88" s="1"/>
      <c r="L88" s="127" t="s">
        <v>144</v>
      </c>
      <c r="M88" s="131">
        <v>5000.0</v>
      </c>
      <c r="N88" s="107">
        <v>1.0</v>
      </c>
      <c r="O88" s="130">
        <f t="shared" si="17"/>
        <v>5000</v>
      </c>
      <c r="P88" s="1"/>
    </row>
    <row r="89" ht="13.5" customHeight="1">
      <c r="A89" s="1"/>
      <c r="B89" s="127" t="s">
        <v>64</v>
      </c>
      <c r="C89" s="131">
        <v>8000.0</v>
      </c>
      <c r="D89" s="112">
        <v>1.0</v>
      </c>
      <c r="E89" s="109">
        <f t="shared" si="14"/>
        <v>8000</v>
      </c>
      <c r="F89" s="66" t="str">
        <f t="shared" si="15"/>
        <v>[CC Party] Serai/Sereh </v>
      </c>
      <c r="G89" s="127" t="s">
        <v>64</v>
      </c>
      <c r="H89" s="131">
        <v>7000.0</v>
      </c>
      <c r="I89" s="112">
        <v>1.0</v>
      </c>
      <c r="J89" s="109">
        <f t="shared" si="16"/>
        <v>7000</v>
      </c>
      <c r="K89" s="1"/>
      <c r="L89" s="127" t="s">
        <v>64</v>
      </c>
      <c r="M89" s="131">
        <v>5000.0</v>
      </c>
      <c r="N89" s="112">
        <v>1.0</v>
      </c>
      <c r="O89" s="130">
        <f t="shared" si="17"/>
        <v>5000</v>
      </c>
      <c r="P89" s="1"/>
    </row>
    <row r="90" ht="13.5" customHeight="1">
      <c r="A90" s="1"/>
      <c r="B90" s="127" t="s">
        <v>65</v>
      </c>
      <c r="C90" s="131">
        <v>7500.0</v>
      </c>
      <c r="D90" s="112">
        <v>1.0</v>
      </c>
      <c r="E90" s="109">
        <f t="shared" si="14"/>
        <v>7500</v>
      </c>
      <c r="F90" s="66"/>
      <c r="G90" s="127" t="s">
        <v>145</v>
      </c>
      <c r="H90" s="131">
        <v>5000.0</v>
      </c>
      <c r="I90" s="112">
        <v>1.0</v>
      </c>
      <c r="J90" s="109">
        <f t="shared" si="16"/>
        <v>5000</v>
      </c>
      <c r="K90" s="1"/>
      <c r="L90" s="127" t="s">
        <v>145</v>
      </c>
      <c r="M90" s="131">
        <v>3000.0</v>
      </c>
      <c r="N90" s="112">
        <v>1.0</v>
      </c>
      <c r="O90" s="130">
        <f t="shared" si="17"/>
        <v>3000</v>
      </c>
      <c r="P90" s="1"/>
    </row>
    <row r="91" ht="13.5" customHeight="1">
      <c r="A91" s="1"/>
      <c r="B91" s="127" t="s">
        <v>66</v>
      </c>
      <c r="C91" s="132">
        <v>20000.0</v>
      </c>
      <c r="D91" s="112">
        <v>1.0</v>
      </c>
      <c r="E91" s="109">
        <f t="shared" si="14"/>
        <v>20000</v>
      </c>
      <c r="F91" s="66" t="str">
        <f>G91</f>
        <v>CC Party] Kayu manis</v>
      </c>
      <c r="G91" s="127" t="s">
        <v>146</v>
      </c>
      <c r="H91" s="132">
        <v>15000.0</v>
      </c>
      <c r="I91" s="112">
        <v>1.0</v>
      </c>
      <c r="J91" s="109">
        <f t="shared" si="16"/>
        <v>15000</v>
      </c>
      <c r="K91" s="1"/>
      <c r="L91" s="127" t="s">
        <v>146</v>
      </c>
      <c r="M91" s="132">
        <v>10000.0</v>
      </c>
      <c r="N91" s="112">
        <v>1.0</v>
      </c>
      <c r="O91" s="130">
        <f t="shared" si="17"/>
        <v>10000</v>
      </c>
      <c r="P91" s="1"/>
    </row>
    <row r="92" ht="13.5" customHeight="1">
      <c r="A92" s="1"/>
      <c r="B92" s="127" t="s">
        <v>67</v>
      </c>
      <c r="C92" s="132">
        <v>7500.0</v>
      </c>
      <c r="D92" s="112">
        <v>1.0</v>
      </c>
      <c r="E92" s="109">
        <f t="shared" si="14"/>
        <v>7500</v>
      </c>
      <c r="F92" s="66"/>
      <c r="G92" s="127" t="s">
        <v>147</v>
      </c>
      <c r="H92" s="132">
        <v>6000.0</v>
      </c>
      <c r="I92" s="112">
        <v>1.0</v>
      </c>
      <c r="J92" s="109">
        <f t="shared" si="16"/>
        <v>6000</v>
      </c>
      <c r="K92" s="1"/>
      <c r="L92" s="127" t="s">
        <v>147</v>
      </c>
      <c r="M92" s="132">
        <v>4000.0</v>
      </c>
      <c r="N92" s="112">
        <v>1.0</v>
      </c>
      <c r="O92" s="130">
        <f t="shared" si="17"/>
        <v>4000</v>
      </c>
      <c r="P92" s="1"/>
    </row>
    <row r="93" ht="13.5" customHeight="1">
      <c r="A93" s="1"/>
      <c r="B93" s="127" t="s">
        <v>68</v>
      </c>
      <c r="C93" s="132">
        <v>9000.0</v>
      </c>
      <c r="D93" s="112">
        <v>1.0</v>
      </c>
      <c r="E93" s="109">
        <f t="shared" si="14"/>
        <v>9000</v>
      </c>
      <c r="F93" s="66"/>
      <c r="G93" s="127" t="s">
        <v>148</v>
      </c>
      <c r="H93" s="132">
        <v>7000.0</v>
      </c>
      <c r="I93" s="112">
        <v>1.0</v>
      </c>
      <c r="J93" s="109">
        <f t="shared" si="16"/>
        <v>7000</v>
      </c>
      <c r="K93" s="1"/>
      <c r="L93" s="127" t="s">
        <v>148</v>
      </c>
      <c r="M93" s="132">
        <v>4000.0</v>
      </c>
      <c r="N93" s="112">
        <v>1.0</v>
      </c>
      <c r="O93" s="130">
        <f t="shared" si="17"/>
        <v>4000</v>
      </c>
      <c r="P93" s="1"/>
    </row>
    <row r="94" ht="13.5" customHeight="1">
      <c r="A94" s="1"/>
      <c r="B94" s="127" t="s">
        <v>69</v>
      </c>
      <c r="C94" s="132">
        <v>7000.0</v>
      </c>
      <c r="D94" s="112">
        <v>1.0</v>
      </c>
      <c r="E94" s="109">
        <f t="shared" si="14"/>
        <v>7000</v>
      </c>
      <c r="F94" s="66"/>
      <c r="G94" s="127" t="s">
        <v>149</v>
      </c>
      <c r="H94" s="132">
        <v>5000.0</v>
      </c>
      <c r="I94" s="112">
        <v>1.0</v>
      </c>
      <c r="J94" s="109">
        <f t="shared" si="16"/>
        <v>5000</v>
      </c>
      <c r="K94" s="1"/>
      <c r="L94" s="127" t="s">
        <v>149</v>
      </c>
      <c r="M94" s="132">
        <v>3000.0</v>
      </c>
      <c r="N94" s="112">
        <v>1.0</v>
      </c>
      <c r="O94" s="130">
        <f t="shared" si="17"/>
        <v>3000</v>
      </c>
      <c r="P94" s="1"/>
    </row>
    <row r="95" ht="13.5" customHeight="1">
      <c r="A95" s="1"/>
      <c r="B95" s="127" t="s">
        <v>70</v>
      </c>
      <c r="C95" s="132">
        <v>5000.0</v>
      </c>
      <c r="D95" s="112">
        <v>4.0</v>
      </c>
      <c r="E95" s="109">
        <f t="shared" si="14"/>
        <v>20000</v>
      </c>
      <c r="F95" s="66"/>
      <c r="G95" s="127" t="s">
        <v>150</v>
      </c>
      <c r="H95" s="132">
        <v>4000.0</v>
      </c>
      <c r="I95" s="112">
        <v>4.0</v>
      </c>
      <c r="J95" s="109">
        <f t="shared" si="16"/>
        <v>16000</v>
      </c>
      <c r="K95" s="1"/>
      <c r="L95" s="127" t="s">
        <v>150</v>
      </c>
      <c r="M95" s="132">
        <v>3000.0</v>
      </c>
      <c r="N95" s="112">
        <v>4.0</v>
      </c>
      <c r="O95" s="130">
        <f t="shared" si="17"/>
        <v>12000</v>
      </c>
      <c r="P95" s="1"/>
    </row>
    <row r="96" ht="13.5" customHeight="1">
      <c r="A96" s="1"/>
      <c r="B96" s="127" t="s">
        <v>71</v>
      </c>
      <c r="C96" s="132">
        <v>65000.0</v>
      </c>
      <c r="D96" s="112">
        <v>4.0</v>
      </c>
      <c r="E96" s="109">
        <f t="shared" si="14"/>
        <v>260000</v>
      </c>
      <c r="F96" s="66"/>
      <c r="G96" s="127" t="s">
        <v>71</v>
      </c>
      <c r="H96" s="132">
        <v>50000.0</v>
      </c>
      <c r="I96" s="112">
        <v>4.0</v>
      </c>
      <c r="J96" s="109">
        <f t="shared" si="16"/>
        <v>200000</v>
      </c>
      <c r="K96" s="1"/>
      <c r="L96" s="127" t="s">
        <v>71</v>
      </c>
      <c r="M96" s="132">
        <v>40000.0</v>
      </c>
      <c r="N96" s="112">
        <v>4.0</v>
      </c>
      <c r="O96" s="130">
        <f t="shared" si="17"/>
        <v>160000</v>
      </c>
      <c r="P96" s="1"/>
    </row>
    <row r="97" ht="13.5" customHeight="1">
      <c r="A97" s="1"/>
      <c r="B97" s="127" t="s">
        <v>72</v>
      </c>
      <c r="C97" s="132">
        <v>700000.0</v>
      </c>
      <c r="D97" s="112">
        <v>1.0</v>
      </c>
      <c r="E97" s="109">
        <f t="shared" si="14"/>
        <v>700000</v>
      </c>
      <c r="F97" s="66"/>
      <c r="G97" s="127" t="s">
        <v>72</v>
      </c>
      <c r="H97" s="132">
        <v>500000.0</v>
      </c>
      <c r="I97" s="112">
        <v>1.0</v>
      </c>
      <c r="J97" s="109">
        <f t="shared" si="16"/>
        <v>500000</v>
      </c>
      <c r="K97" s="1"/>
      <c r="L97" s="127" t="s">
        <v>72</v>
      </c>
      <c r="M97" s="132">
        <v>400000.0</v>
      </c>
      <c r="N97" s="112">
        <v>1.0</v>
      </c>
      <c r="O97" s="130">
        <f t="shared" si="17"/>
        <v>400000</v>
      </c>
      <c r="P97" s="1"/>
    </row>
    <row r="98" ht="13.5" customHeight="1">
      <c r="A98" s="1"/>
      <c r="B98" s="127" t="s">
        <v>73</v>
      </c>
      <c r="C98" s="132">
        <v>5000.0</v>
      </c>
      <c r="D98" s="112">
        <v>2.0</v>
      </c>
      <c r="E98" s="109">
        <f t="shared" si="14"/>
        <v>10000</v>
      </c>
      <c r="F98" s="66"/>
      <c r="G98" s="127" t="s">
        <v>73</v>
      </c>
      <c r="H98" s="132">
        <v>4000.0</v>
      </c>
      <c r="I98" s="112">
        <v>2.0</v>
      </c>
      <c r="J98" s="109">
        <f t="shared" si="16"/>
        <v>8000</v>
      </c>
      <c r="K98" s="1"/>
      <c r="L98" s="127" t="s">
        <v>73</v>
      </c>
      <c r="M98" s="132">
        <v>3000.0</v>
      </c>
      <c r="N98" s="112">
        <v>2.0</v>
      </c>
      <c r="O98" s="130">
        <f t="shared" si="17"/>
        <v>6000</v>
      </c>
      <c r="P98" s="1"/>
    </row>
    <row r="99" ht="13.5" customHeight="1">
      <c r="A99" s="1"/>
      <c r="B99" s="127" t="s">
        <v>74</v>
      </c>
      <c r="C99" s="132">
        <v>10000.0</v>
      </c>
      <c r="D99" s="112">
        <v>4.0</v>
      </c>
      <c r="E99" s="109">
        <f t="shared" si="14"/>
        <v>40000</v>
      </c>
      <c r="F99" s="66"/>
      <c r="G99" s="127" t="s">
        <v>74</v>
      </c>
      <c r="H99" s="132">
        <v>8000.0</v>
      </c>
      <c r="I99" s="112">
        <v>3.0</v>
      </c>
      <c r="J99" s="109">
        <f t="shared" si="16"/>
        <v>24000</v>
      </c>
      <c r="K99" s="1"/>
      <c r="L99" s="127" t="s">
        <v>74</v>
      </c>
      <c r="M99" s="132">
        <v>6500.0</v>
      </c>
      <c r="N99" s="112">
        <v>2.0</v>
      </c>
      <c r="O99" s="130">
        <f t="shared" si="17"/>
        <v>13000</v>
      </c>
      <c r="P99" s="1"/>
    </row>
    <row r="100" ht="13.5" customHeight="1">
      <c r="A100" s="1"/>
      <c r="B100" s="127" t="s">
        <v>75</v>
      </c>
      <c r="C100" s="132">
        <v>11000.0</v>
      </c>
      <c r="D100" s="112">
        <v>4.0</v>
      </c>
      <c r="E100" s="109">
        <f t="shared" si="14"/>
        <v>44000</v>
      </c>
      <c r="F100" s="66"/>
      <c r="G100" s="127" t="s">
        <v>75</v>
      </c>
      <c r="H100" s="132">
        <v>11000.0</v>
      </c>
      <c r="I100" s="112">
        <v>3.0</v>
      </c>
      <c r="J100" s="109">
        <f t="shared" si="16"/>
        <v>33000</v>
      </c>
      <c r="K100" s="1"/>
      <c r="L100" s="127" t="s">
        <v>75</v>
      </c>
      <c r="M100" s="132">
        <v>11000.0</v>
      </c>
      <c r="N100" s="112">
        <v>2.0</v>
      </c>
      <c r="O100" s="130">
        <f t="shared" si="17"/>
        <v>22000</v>
      </c>
      <c r="P100" s="1"/>
    </row>
    <row r="101" ht="13.5" customHeight="1">
      <c r="A101" s="1"/>
      <c r="B101" s="127" t="s">
        <v>76</v>
      </c>
      <c r="C101" s="132">
        <v>11000.0</v>
      </c>
      <c r="D101" s="112">
        <v>4.0</v>
      </c>
      <c r="E101" s="109">
        <f t="shared" si="14"/>
        <v>44000</v>
      </c>
      <c r="F101" s="66"/>
      <c r="G101" s="127" t="s">
        <v>76</v>
      </c>
      <c r="H101" s="132">
        <v>11000.0</v>
      </c>
      <c r="I101" s="112">
        <v>3.0</v>
      </c>
      <c r="J101" s="109">
        <f t="shared" si="16"/>
        <v>33000</v>
      </c>
      <c r="K101" s="1"/>
      <c r="L101" s="127" t="s">
        <v>76</v>
      </c>
      <c r="M101" s="132">
        <v>11000.0</v>
      </c>
      <c r="N101" s="112">
        <v>2.0</v>
      </c>
      <c r="O101" s="130">
        <f t="shared" si="17"/>
        <v>22000</v>
      </c>
      <c r="P101" s="1"/>
    </row>
    <row r="102" ht="13.5" customHeight="1">
      <c r="A102" s="1"/>
      <c r="B102" s="127" t="s">
        <v>77</v>
      </c>
      <c r="C102" s="132">
        <v>11000.0</v>
      </c>
      <c r="D102" s="112">
        <v>4.0</v>
      </c>
      <c r="E102" s="109">
        <f t="shared" si="14"/>
        <v>44000</v>
      </c>
      <c r="F102" s="66"/>
      <c r="G102" s="127" t="s">
        <v>77</v>
      </c>
      <c r="H102" s="132">
        <v>11000.0</v>
      </c>
      <c r="I102" s="112">
        <v>3.0</v>
      </c>
      <c r="J102" s="109">
        <f t="shared" si="16"/>
        <v>33000</v>
      </c>
      <c r="K102" s="1"/>
      <c r="L102" s="127" t="s">
        <v>77</v>
      </c>
      <c r="M102" s="132">
        <v>11000.0</v>
      </c>
      <c r="N102" s="112">
        <v>2.0</v>
      </c>
      <c r="O102" s="130">
        <f t="shared" si="17"/>
        <v>22000</v>
      </c>
      <c r="P102" s="1"/>
    </row>
    <row r="103" ht="13.5" customHeight="1">
      <c r="A103" s="1"/>
      <c r="B103" s="127" t="s">
        <v>78</v>
      </c>
      <c r="C103" s="132">
        <v>11000.0</v>
      </c>
      <c r="D103" s="112">
        <v>4.0</v>
      </c>
      <c r="E103" s="109">
        <f t="shared" si="14"/>
        <v>44000</v>
      </c>
      <c r="F103" s="66"/>
      <c r="G103" s="127" t="s">
        <v>78</v>
      </c>
      <c r="H103" s="132">
        <v>11000.0</v>
      </c>
      <c r="I103" s="112">
        <v>3.0</v>
      </c>
      <c r="J103" s="109">
        <f t="shared" si="16"/>
        <v>33000</v>
      </c>
      <c r="K103" s="1"/>
      <c r="L103" s="127" t="s">
        <v>78</v>
      </c>
      <c r="M103" s="132">
        <v>11000.0</v>
      </c>
      <c r="N103" s="112">
        <v>2.0</v>
      </c>
      <c r="O103" s="130">
        <f t="shared" si="17"/>
        <v>22000</v>
      </c>
      <c r="P103" s="1"/>
    </row>
    <row r="104" ht="13.5" customHeight="1">
      <c r="A104" s="1"/>
      <c r="B104" s="127" t="s">
        <v>79</v>
      </c>
      <c r="C104" s="132">
        <v>27000.0</v>
      </c>
      <c r="D104" s="112">
        <v>4.0</v>
      </c>
      <c r="E104" s="109">
        <f t="shared" si="14"/>
        <v>108000</v>
      </c>
      <c r="F104" s="66"/>
      <c r="G104" s="127" t="s">
        <v>79</v>
      </c>
      <c r="H104" s="132">
        <v>22000.0</v>
      </c>
      <c r="I104" s="112">
        <v>3.0</v>
      </c>
      <c r="J104" s="109">
        <f t="shared" si="16"/>
        <v>66000</v>
      </c>
      <c r="K104" s="1"/>
      <c r="L104" s="127" t="s">
        <v>79</v>
      </c>
      <c r="M104" s="132">
        <v>17000.0</v>
      </c>
      <c r="N104" s="112">
        <v>2.0</v>
      </c>
      <c r="O104" s="130">
        <f t="shared" si="17"/>
        <v>34000</v>
      </c>
      <c r="P104" s="1"/>
    </row>
    <row r="105" ht="13.5" customHeight="1">
      <c r="A105" s="1"/>
      <c r="B105" s="127" t="s">
        <v>80</v>
      </c>
      <c r="C105" s="132">
        <v>2000.0</v>
      </c>
      <c r="D105" s="112">
        <v>16.0</v>
      </c>
      <c r="E105" s="109">
        <f t="shared" si="14"/>
        <v>32000</v>
      </c>
      <c r="F105" s="66"/>
      <c r="G105" s="127" t="s">
        <v>80</v>
      </c>
      <c r="H105" s="132">
        <v>1650.0</v>
      </c>
      <c r="I105" s="112">
        <v>12.0</v>
      </c>
      <c r="J105" s="109">
        <f t="shared" si="16"/>
        <v>19800</v>
      </c>
      <c r="K105" s="1"/>
      <c r="L105" s="127" t="s">
        <v>80</v>
      </c>
      <c r="M105" s="132">
        <v>1287.0</v>
      </c>
      <c r="N105" s="112">
        <v>8.0</v>
      </c>
      <c r="O105" s="130">
        <f t="shared" si="17"/>
        <v>10296</v>
      </c>
      <c r="P105" s="1"/>
    </row>
    <row r="106" ht="13.5" customHeight="1">
      <c r="A106" s="1"/>
      <c r="B106" s="127" t="s">
        <v>81</v>
      </c>
      <c r="C106" s="132">
        <v>60000.0</v>
      </c>
      <c r="D106" s="112">
        <v>4.0</v>
      </c>
      <c r="E106" s="109">
        <f t="shared" si="14"/>
        <v>240000</v>
      </c>
      <c r="F106" s="66"/>
      <c r="G106" s="127" t="s">
        <v>81</v>
      </c>
      <c r="H106" s="132">
        <v>50000.0</v>
      </c>
      <c r="I106" s="112">
        <v>3.0</v>
      </c>
      <c r="J106" s="109">
        <f t="shared" si="16"/>
        <v>150000</v>
      </c>
      <c r="K106" s="1"/>
      <c r="L106" s="127" t="s">
        <v>81</v>
      </c>
      <c r="M106" s="132">
        <v>35000.0</v>
      </c>
      <c r="N106" s="112">
        <v>2.0</v>
      </c>
      <c r="O106" s="130">
        <f t="shared" si="17"/>
        <v>70000</v>
      </c>
      <c r="P106" s="1"/>
    </row>
    <row r="107" ht="13.5" customHeight="1">
      <c r="A107" s="1"/>
      <c r="B107" s="127" t="s">
        <v>82</v>
      </c>
      <c r="C107" s="132">
        <v>9600.0</v>
      </c>
      <c r="D107" s="112">
        <v>2.0</v>
      </c>
      <c r="E107" s="109">
        <f t="shared" si="14"/>
        <v>19200</v>
      </c>
      <c r="F107" s="66"/>
      <c r="G107" s="127" t="s">
        <v>82</v>
      </c>
      <c r="H107" s="132">
        <v>6749.0</v>
      </c>
      <c r="I107" s="112">
        <v>2.0</v>
      </c>
      <c r="J107" s="109">
        <f t="shared" si="16"/>
        <v>13498</v>
      </c>
      <c r="K107" s="1"/>
      <c r="L107" s="127" t="s">
        <v>82</v>
      </c>
      <c r="M107" s="132">
        <v>6620.0</v>
      </c>
      <c r="N107" s="112">
        <v>2.0</v>
      </c>
      <c r="O107" s="130">
        <f t="shared" si="17"/>
        <v>13240</v>
      </c>
      <c r="P107" s="1"/>
    </row>
    <row r="108" ht="13.5" customHeight="1">
      <c r="A108" s="1"/>
      <c r="B108" s="127" t="s">
        <v>83</v>
      </c>
      <c r="C108" s="132">
        <v>500.0</v>
      </c>
      <c r="D108" s="32">
        <v>323.0</v>
      </c>
      <c r="E108" s="109">
        <f t="shared" si="14"/>
        <v>161500</v>
      </c>
      <c r="F108" s="66"/>
      <c r="G108" s="127" t="s">
        <v>83</v>
      </c>
      <c r="H108" s="132">
        <v>300.0</v>
      </c>
      <c r="I108" s="112">
        <v>325.0</v>
      </c>
      <c r="J108" s="109">
        <f t="shared" si="16"/>
        <v>97500</v>
      </c>
      <c r="K108" s="1"/>
      <c r="L108" s="127" t="s">
        <v>83</v>
      </c>
      <c r="M108" s="132">
        <v>150.0</v>
      </c>
      <c r="N108" s="107">
        <v>330.0</v>
      </c>
      <c r="O108" s="130">
        <f t="shared" si="17"/>
        <v>49500</v>
      </c>
      <c r="P108" s="1"/>
    </row>
    <row r="109" ht="13.5" customHeight="1">
      <c r="A109" s="1"/>
      <c r="B109" s="127" t="s">
        <v>84</v>
      </c>
      <c r="C109" s="132">
        <v>50000.0</v>
      </c>
      <c r="D109" s="112">
        <v>1.0</v>
      </c>
      <c r="E109" s="109">
        <f t="shared" si="14"/>
        <v>50000</v>
      </c>
      <c r="F109" s="66" t="str">
        <f>G109</f>
        <v> Printing Placard NLF &amp; NLM</v>
      </c>
      <c r="G109" s="127" t="s">
        <v>84</v>
      </c>
      <c r="H109" s="132">
        <v>40000.0</v>
      </c>
      <c r="I109" s="112">
        <v>1.0</v>
      </c>
      <c r="J109" s="109">
        <f t="shared" si="16"/>
        <v>40000</v>
      </c>
      <c r="K109" s="1"/>
      <c r="L109" s="127" t="s">
        <v>84</v>
      </c>
      <c r="M109" s="132">
        <v>35000.0</v>
      </c>
      <c r="N109" s="112">
        <v>1.0</v>
      </c>
      <c r="O109" s="130">
        <f t="shared" si="17"/>
        <v>35000</v>
      </c>
      <c r="P109" s="1"/>
    </row>
    <row r="110" ht="18.75" customHeight="1">
      <c r="A110" s="4"/>
      <c r="B110" s="122" t="s">
        <v>56</v>
      </c>
      <c r="C110" s="87"/>
      <c r="D110" s="88"/>
      <c r="E110" s="123">
        <f>SUM(E82:E109)</f>
        <v>2060700</v>
      </c>
      <c r="F110" s="133" t="s">
        <v>85</v>
      </c>
      <c r="G110" s="122" t="s">
        <v>56</v>
      </c>
      <c r="H110" s="87"/>
      <c r="I110" s="88"/>
      <c r="J110" s="123">
        <f>SUM(J85:J109)</f>
        <v>1340798</v>
      </c>
      <c r="K110" s="4"/>
      <c r="L110" s="122" t="s">
        <v>56</v>
      </c>
      <c r="M110" s="87"/>
      <c r="N110" s="88"/>
      <c r="O110" s="123">
        <f>SUM(O85:O109)</f>
        <v>940036</v>
      </c>
      <c r="P110" s="1"/>
    </row>
    <row r="111" ht="15.0" customHeight="1">
      <c r="A111" s="1"/>
      <c r="B111" s="1"/>
      <c r="C111" s="96"/>
      <c r="D111" s="96"/>
      <c r="E111" s="1"/>
      <c r="F111" s="66"/>
      <c r="G111" s="96"/>
      <c r="H111" s="96"/>
      <c r="I111" s="96"/>
      <c r="J111" s="96"/>
      <c r="K111" s="1"/>
      <c r="L111" s="96"/>
      <c r="M111" s="96"/>
      <c r="N111" s="96"/>
      <c r="O111" s="96"/>
      <c r="P111" s="1"/>
    </row>
    <row r="112" ht="24.0" customHeight="1">
      <c r="A112" s="1"/>
      <c r="B112" s="102" t="str">
        <f>'🏦COVER🏦'!D13</f>
        <v>#REF!</v>
      </c>
      <c r="C112" s="103" t="s">
        <v>5</v>
      </c>
      <c r="D112" s="103" t="s">
        <v>6</v>
      </c>
      <c r="E112" s="104" t="s">
        <v>7</v>
      </c>
      <c r="F112" s="72"/>
      <c r="G112" s="134" t="str">
        <f>B112</f>
        <v>#REF!</v>
      </c>
      <c r="H112" s="103" t="s">
        <v>5</v>
      </c>
      <c r="I112" s="103" t="s">
        <v>6</v>
      </c>
      <c r="J112" s="103" t="s">
        <v>7</v>
      </c>
      <c r="K112" s="16"/>
      <c r="L112" s="134" t="str">
        <f>B112</f>
        <v>#REF!</v>
      </c>
      <c r="M112" s="103" t="s">
        <v>5</v>
      </c>
      <c r="N112" s="103" t="s">
        <v>6</v>
      </c>
      <c r="O112" s="103" t="s">
        <v>7</v>
      </c>
      <c r="P112" s="135"/>
    </row>
    <row r="113" ht="15.75" customHeight="1">
      <c r="A113" s="4"/>
      <c r="B113" s="105" t="s">
        <v>86</v>
      </c>
      <c r="C113" s="131">
        <v>1349.0</v>
      </c>
      <c r="D113" s="32">
        <v>323.0</v>
      </c>
      <c r="E113" s="108">
        <f t="shared" ref="E113:E131" si="18">C113*D113</f>
        <v>435727</v>
      </c>
      <c r="F113" s="72" t="str">
        <f t="shared" ref="F113:F121" si="19">G113</f>
        <v>Delegates ID Card</v>
      </c>
      <c r="G113" s="105" t="s">
        <v>86</v>
      </c>
      <c r="H113" s="136">
        <v>955.0</v>
      </c>
      <c r="I113" s="112">
        <v>325.0</v>
      </c>
      <c r="J113" s="137">
        <f t="shared" ref="J113:J131" si="20">H113*I113</f>
        <v>310375</v>
      </c>
      <c r="K113" s="16"/>
      <c r="L113" s="105" t="s">
        <v>86</v>
      </c>
      <c r="M113" s="136">
        <v>952.0</v>
      </c>
      <c r="N113" s="107">
        <v>330.0</v>
      </c>
      <c r="O113" s="137">
        <f t="shared" ref="O113:O131" si="21">M113*N113</f>
        <v>314160</v>
      </c>
      <c r="P113" s="100"/>
    </row>
    <row r="114" ht="15.75" customHeight="1">
      <c r="A114" s="1"/>
      <c r="B114" s="110" t="s">
        <v>87</v>
      </c>
      <c r="C114" s="131">
        <v>27660.0</v>
      </c>
      <c r="D114" s="107">
        <v>4.0</v>
      </c>
      <c r="E114" s="111">
        <f t="shared" si="18"/>
        <v>110640</v>
      </c>
      <c r="F114" s="66" t="str">
        <f t="shared" si="19"/>
        <v>Sugarcubes Envelope (100 pcs)</v>
      </c>
      <c r="G114" s="110" t="s">
        <v>87</v>
      </c>
      <c r="H114" s="131">
        <v>22500.0</v>
      </c>
      <c r="I114" s="107">
        <v>4.0</v>
      </c>
      <c r="J114" s="111">
        <f t="shared" si="20"/>
        <v>90000</v>
      </c>
      <c r="K114" s="4"/>
      <c r="L114" s="110" t="s">
        <v>87</v>
      </c>
      <c r="M114" s="131">
        <v>22000.0</v>
      </c>
      <c r="N114" s="107">
        <v>4.0</v>
      </c>
      <c r="O114" s="111">
        <f t="shared" si="21"/>
        <v>88000</v>
      </c>
      <c r="P114" s="1"/>
    </row>
    <row r="115" ht="15.75" customHeight="1">
      <c r="A115" s="1"/>
      <c r="B115" s="110" t="s">
        <v>88</v>
      </c>
      <c r="C115" s="131">
        <v>10000.0</v>
      </c>
      <c r="D115" s="32">
        <v>323.0</v>
      </c>
      <c r="E115" s="111">
        <f t="shared" si="18"/>
        <v>3230000</v>
      </c>
      <c r="F115" s="66" t="str">
        <f t="shared" si="19"/>
        <v>Delegates Kit</v>
      </c>
      <c r="G115" s="110" t="s">
        <v>88</v>
      </c>
      <c r="H115" s="131">
        <v>8000.0</v>
      </c>
      <c r="I115" s="112">
        <v>325.0</v>
      </c>
      <c r="J115" s="111">
        <f t="shared" si="20"/>
        <v>2600000</v>
      </c>
      <c r="K115" s="1"/>
      <c r="L115" s="110" t="s">
        <v>88</v>
      </c>
      <c r="M115" s="131">
        <v>5000.0</v>
      </c>
      <c r="N115" s="107">
        <v>330.0</v>
      </c>
      <c r="O115" s="111">
        <f t="shared" si="21"/>
        <v>1650000</v>
      </c>
      <c r="P115" s="1"/>
    </row>
    <row r="116" ht="15.75" customHeight="1">
      <c r="A116" s="1"/>
      <c r="B116" s="110" t="s">
        <v>89</v>
      </c>
      <c r="C116" s="131">
        <v>11681.0</v>
      </c>
      <c r="D116" s="107">
        <v>1.0</v>
      </c>
      <c r="E116" s="111">
        <f t="shared" si="18"/>
        <v>11681</v>
      </c>
      <c r="F116" s="66" t="str">
        <f t="shared" si="19"/>
        <v>[Medicine] Mylanta </v>
      </c>
      <c r="G116" s="110" t="s">
        <v>89</v>
      </c>
      <c r="H116" s="131">
        <v>10700.0</v>
      </c>
      <c r="I116" s="107">
        <v>1.0</v>
      </c>
      <c r="J116" s="111">
        <f t="shared" si="20"/>
        <v>10700</v>
      </c>
      <c r="K116" s="1"/>
      <c r="L116" s="110" t="s">
        <v>89</v>
      </c>
      <c r="M116" s="131">
        <v>10000.0</v>
      </c>
      <c r="N116" s="107">
        <v>1.0</v>
      </c>
      <c r="O116" s="111">
        <f t="shared" si="21"/>
        <v>10000</v>
      </c>
      <c r="P116" s="1"/>
    </row>
    <row r="117" ht="15.75" customHeight="1">
      <c r="A117" s="1"/>
      <c r="B117" s="110" t="s">
        <v>90</v>
      </c>
      <c r="C117" s="131">
        <v>4500.0</v>
      </c>
      <c r="D117" s="107">
        <v>4.0</v>
      </c>
      <c r="E117" s="111">
        <f t="shared" si="18"/>
        <v>18000</v>
      </c>
      <c r="F117" s="66" t="str">
        <f t="shared" si="19"/>
        <v>[Medicine] Sanmol</v>
      </c>
      <c r="G117" s="110" t="s">
        <v>90</v>
      </c>
      <c r="H117" s="131">
        <v>2500.0</v>
      </c>
      <c r="I117" s="107">
        <v>4.0</v>
      </c>
      <c r="J117" s="111">
        <f t="shared" si="20"/>
        <v>10000</v>
      </c>
      <c r="K117" s="1"/>
      <c r="L117" s="110" t="s">
        <v>90</v>
      </c>
      <c r="M117" s="131">
        <v>2000.0</v>
      </c>
      <c r="N117" s="107">
        <v>4.0</v>
      </c>
      <c r="O117" s="111">
        <f t="shared" si="21"/>
        <v>8000</v>
      </c>
      <c r="P117" s="1"/>
    </row>
    <row r="118" ht="15.75" customHeight="1">
      <c r="A118" s="1"/>
      <c r="B118" s="110" t="s">
        <v>91</v>
      </c>
      <c r="C118" s="131">
        <v>63700.0</v>
      </c>
      <c r="D118" s="107">
        <v>1.0</v>
      </c>
      <c r="E118" s="111">
        <f t="shared" si="18"/>
        <v>63700</v>
      </c>
      <c r="F118" s="66" t="str">
        <f t="shared" si="19"/>
        <v>[Medicine] Tolak Angin </v>
      </c>
      <c r="G118" s="110" t="s">
        <v>91</v>
      </c>
      <c r="H118" s="131">
        <v>57950.0</v>
      </c>
      <c r="I118" s="107">
        <v>1.0</v>
      </c>
      <c r="J118" s="111">
        <f t="shared" si="20"/>
        <v>57950</v>
      </c>
      <c r="K118" s="1"/>
      <c r="L118" s="110" t="s">
        <v>91</v>
      </c>
      <c r="M118" s="131">
        <v>55000.0</v>
      </c>
      <c r="N118" s="107">
        <v>1.0</v>
      </c>
      <c r="O118" s="111">
        <f t="shared" si="21"/>
        <v>55000</v>
      </c>
      <c r="P118" s="1"/>
    </row>
    <row r="119" ht="15.75" customHeight="1">
      <c r="A119" s="1"/>
      <c r="B119" s="110" t="s">
        <v>92</v>
      </c>
      <c r="C119" s="131">
        <v>16600.0</v>
      </c>
      <c r="D119" s="107">
        <v>1.0</v>
      </c>
      <c r="E119" s="109">
        <f t="shared" si="18"/>
        <v>16600</v>
      </c>
      <c r="F119" s="66" t="str">
        <f t="shared" si="19"/>
        <v>[Medicine] Minyak Kayu Putih (S)</v>
      </c>
      <c r="G119" s="110" t="s">
        <v>92</v>
      </c>
      <c r="H119" s="131">
        <v>14000.0</v>
      </c>
      <c r="I119" s="107">
        <v>1.0</v>
      </c>
      <c r="J119" s="109">
        <f t="shared" si="20"/>
        <v>14000</v>
      </c>
      <c r="K119" s="1"/>
      <c r="L119" s="110" t="s">
        <v>92</v>
      </c>
      <c r="M119" s="131">
        <v>13794.0</v>
      </c>
      <c r="N119" s="107">
        <v>1.0</v>
      </c>
      <c r="O119" s="138">
        <f t="shared" si="21"/>
        <v>13794</v>
      </c>
      <c r="P119" s="1"/>
    </row>
    <row r="120" ht="15.75" customHeight="1">
      <c r="A120" s="1"/>
      <c r="B120" s="110" t="s">
        <v>93</v>
      </c>
      <c r="C120" s="131">
        <v>15300.0</v>
      </c>
      <c r="D120" s="107">
        <v>1.0</v>
      </c>
      <c r="E120" s="109">
        <f t="shared" si="18"/>
        <v>15300</v>
      </c>
      <c r="F120" s="66" t="str">
        <f t="shared" si="19"/>
        <v>[Medicine] Decolgen FX</v>
      </c>
      <c r="G120" s="110" t="s">
        <v>93</v>
      </c>
      <c r="H120" s="131">
        <v>15200.0</v>
      </c>
      <c r="I120" s="107">
        <v>1.0</v>
      </c>
      <c r="J120" s="109">
        <f t="shared" si="20"/>
        <v>15200</v>
      </c>
      <c r="K120" s="1"/>
      <c r="L120" s="110" t="s">
        <v>93</v>
      </c>
      <c r="M120" s="131">
        <v>13800.0</v>
      </c>
      <c r="N120" s="107">
        <v>1.0</v>
      </c>
      <c r="O120" s="138">
        <f t="shared" si="21"/>
        <v>13800</v>
      </c>
      <c r="P120" s="1"/>
    </row>
    <row r="121" ht="15.75" customHeight="1">
      <c r="A121" s="1"/>
      <c r="B121" s="110" t="s">
        <v>94</v>
      </c>
      <c r="C121" s="131">
        <v>15500.0</v>
      </c>
      <c r="D121" s="107">
        <v>2.0</v>
      </c>
      <c r="E121" s="109">
        <f t="shared" si="18"/>
        <v>31000</v>
      </c>
      <c r="F121" s="66" t="str">
        <f t="shared" si="19"/>
        <v>[Medicine] Hansaplast </v>
      </c>
      <c r="G121" s="110" t="s">
        <v>94</v>
      </c>
      <c r="H121" s="131">
        <v>11572.0</v>
      </c>
      <c r="I121" s="107">
        <v>2.0</v>
      </c>
      <c r="J121" s="109">
        <f t="shared" si="20"/>
        <v>23144</v>
      </c>
      <c r="K121" s="1"/>
      <c r="L121" s="110" t="s">
        <v>94</v>
      </c>
      <c r="M121" s="131">
        <v>10900.0</v>
      </c>
      <c r="N121" s="107">
        <v>2.0</v>
      </c>
      <c r="O121" s="138">
        <f t="shared" si="21"/>
        <v>21800</v>
      </c>
      <c r="P121" s="1"/>
    </row>
    <row r="122" ht="15.75" customHeight="1">
      <c r="A122" s="1"/>
      <c r="B122" s="110" t="s">
        <v>95</v>
      </c>
      <c r="C122" s="131">
        <v>24150.0</v>
      </c>
      <c r="D122" s="107">
        <v>1.0</v>
      </c>
      <c r="E122" s="109">
        <f t="shared" si="18"/>
        <v>24150</v>
      </c>
      <c r="F122" s="66"/>
      <c r="G122" s="110" t="s">
        <v>95</v>
      </c>
      <c r="H122" s="131">
        <v>20778.0</v>
      </c>
      <c r="I122" s="107">
        <v>1.0</v>
      </c>
      <c r="J122" s="109">
        <f t="shared" si="20"/>
        <v>20778</v>
      </c>
      <c r="K122" s="1"/>
      <c r="L122" s="110" t="s">
        <v>95</v>
      </c>
      <c r="M122" s="131">
        <v>18663.0</v>
      </c>
      <c r="N122" s="107">
        <v>1.0</v>
      </c>
      <c r="O122" s="138">
        <f t="shared" si="21"/>
        <v>18663</v>
      </c>
      <c r="P122" s="1"/>
    </row>
    <row r="123" ht="15.75" customHeight="1">
      <c r="A123" s="1"/>
      <c r="B123" s="110" t="s">
        <v>96</v>
      </c>
      <c r="C123" s="131">
        <v>10000.0</v>
      </c>
      <c r="D123" s="107">
        <v>1.0</v>
      </c>
      <c r="E123" s="109">
        <f t="shared" si="18"/>
        <v>10000</v>
      </c>
      <c r="F123" s="66"/>
      <c r="G123" s="110" t="s">
        <v>96</v>
      </c>
      <c r="H123" s="131">
        <v>9257.0</v>
      </c>
      <c r="I123" s="107">
        <v>1.0</v>
      </c>
      <c r="J123" s="109">
        <f t="shared" si="20"/>
        <v>9257</v>
      </c>
      <c r="K123" s="1"/>
      <c r="L123" s="110" t="s">
        <v>96</v>
      </c>
      <c r="M123" s="131">
        <v>8500.0</v>
      </c>
      <c r="N123" s="107">
        <v>1.0</v>
      </c>
      <c r="O123" s="138">
        <f t="shared" si="21"/>
        <v>8500</v>
      </c>
      <c r="P123" s="1"/>
    </row>
    <row r="124" ht="15.75" customHeight="1">
      <c r="A124" s="1"/>
      <c r="B124" s="110" t="s">
        <v>97</v>
      </c>
      <c r="C124" s="131">
        <v>15895.0</v>
      </c>
      <c r="D124" s="107">
        <v>1.0</v>
      </c>
      <c r="E124" s="109">
        <f t="shared" si="18"/>
        <v>15895</v>
      </c>
      <c r="F124" s="66"/>
      <c r="G124" s="110" t="s">
        <v>97</v>
      </c>
      <c r="H124" s="131">
        <v>15043.0</v>
      </c>
      <c r="I124" s="107">
        <v>1.0</v>
      </c>
      <c r="J124" s="109">
        <f t="shared" si="20"/>
        <v>15043</v>
      </c>
      <c r="K124" s="1"/>
      <c r="L124" s="110" t="s">
        <v>97</v>
      </c>
      <c r="M124" s="131">
        <v>14690.0</v>
      </c>
      <c r="N124" s="107">
        <v>1.0</v>
      </c>
      <c r="O124" s="138">
        <f t="shared" si="21"/>
        <v>14690</v>
      </c>
      <c r="P124" s="1"/>
    </row>
    <row r="125" ht="15.75" customHeight="1">
      <c r="A125" s="1"/>
      <c r="B125" s="110" t="s">
        <v>98</v>
      </c>
      <c r="C125" s="131">
        <v>31510.0</v>
      </c>
      <c r="D125" s="107">
        <v>2.0</v>
      </c>
      <c r="E125" s="109">
        <f t="shared" si="18"/>
        <v>63020</v>
      </c>
      <c r="F125" s="66"/>
      <c r="G125" s="110" t="s">
        <v>98</v>
      </c>
      <c r="H125" s="131">
        <v>29000.0</v>
      </c>
      <c r="I125" s="107">
        <v>2.0</v>
      </c>
      <c r="J125" s="109">
        <f t="shared" si="20"/>
        <v>58000</v>
      </c>
      <c r="K125" s="1"/>
      <c r="L125" s="110" t="s">
        <v>98</v>
      </c>
      <c r="M125" s="131">
        <v>28400.0</v>
      </c>
      <c r="N125" s="107">
        <v>2.0</v>
      </c>
      <c r="O125" s="138">
        <f t="shared" si="21"/>
        <v>56800</v>
      </c>
      <c r="P125" s="1"/>
    </row>
    <row r="126" ht="15.75" customHeight="1">
      <c r="A126" s="1"/>
      <c r="B126" s="110" t="s">
        <v>99</v>
      </c>
      <c r="C126" s="131">
        <v>8500.0</v>
      </c>
      <c r="D126" s="107">
        <v>5.0</v>
      </c>
      <c r="E126" s="109">
        <f t="shared" si="18"/>
        <v>42500</v>
      </c>
      <c r="F126" s="66"/>
      <c r="G126" s="110" t="s">
        <v>99</v>
      </c>
      <c r="H126" s="131">
        <v>6125.0</v>
      </c>
      <c r="I126" s="107">
        <v>5.0</v>
      </c>
      <c r="J126" s="109">
        <f t="shared" si="20"/>
        <v>30625</v>
      </c>
      <c r="K126" s="1"/>
      <c r="L126" s="110" t="s">
        <v>99</v>
      </c>
      <c r="M126" s="131">
        <v>6000.0</v>
      </c>
      <c r="N126" s="107">
        <v>5.0</v>
      </c>
      <c r="O126" s="138">
        <f t="shared" si="21"/>
        <v>30000</v>
      </c>
      <c r="P126" s="1"/>
    </row>
    <row r="127" ht="15.75" customHeight="1">
      <c r="A127" s="1"/>
      <c r="B127" s="110" t="s">
        <v>100</v>
      </c>
      <c r="C127" s="131">
        <v>3000.0</v>
      </c>
      <c r="D127" s="107">
        <v>40.0</v>
      </c>
      <c r="E127" s="109">
        <f t="shared" si="18"/>
        <v>120000</v>
      </c>
      <c r="F127" s="66"/>
      <c r="G127" s="110" t="s">
        <v>100</v>
      </c>
      <c r="H127" s="131">
        <v>2000.0</v>
      </c>
      <c r="I127" s="107">
        <v>45.0</v>
      </c>
      <c r="J127" s="109">
        <f t="shared" si="20"/>
        <v>90000</v>
      </c>
      <c r="K127" s="1"/>
      <c r="L127" s="110" t="s">
        <v>100</v>
      </c>
      <c r="M127" s="131">
        <v>1500.0</v>
      </c>
      <c r="N127" s="107">
        <v>50.0</v>
      </c>
      <c r="O127" s="138">
        <f t="shared" si="21"/>
        <v>75000</v>
      </c>
      <c r="P127" s="1"/>
    </row>
    <row r="128" ht="15.75" customHeight="1">
      <c r="A128" s="1"/>
      <c r="B128" s="110" t="s">
        <v>101</v>
      </c>
      <c r="C128" s="131">
        <v>3000.0</v>
      </c>
      <c r="D128" s="107">
        <v>80.0</v>
      </c>
      <c r="E128" s="109">
        <f t="shared" si="18"/>
        <v>240000</v>
      </c>
      <c r="F128" s="66"/>
      <c r="G128" s="110" t="s">
        <v>101</v>
      </c>
      <c r="H128" s="131">
        <v>2000.0</v>
      </c>
      <c r="I128" s="107">
        <v>82.0</v>
      </c>
      <c r="J128" s="109">
        <f t="shared" si="20"/>
        <v>164000</v>
      </c>
      <c r="K128" s="1"/>
      <c r="L128" s="110" t="s">
        <v>101</v>
      </c>
      <c r="M128" s="131">
        <v>1500.0</v>
      </c>
      <c r="N128" s="107">
        <v>85.0</v>
      </c>
      <c r="O128" s="138">
        <f t="shared" si="21"/>
        <v>127500</v>
      </c>
      <c r="P128" s="1"/>
    </row>
    <row r="129" ht="15.75" customHeight="1">
      <c r="A129" s="1"/>
      <c r="B129" s="110" t="s">
        <v>102</v>
      </c>
      <c r="C129" s="131">
        <v>6000.0</v>
      </c>
      <c r="D129" s="107">
        <v>3.0</v>
      </c>
      <c r="E129" s="109">
        <f t="shared" si="18"/>
        <v>18000</v>
      </c>
      <c r="F129" s="66"/>
      <c r="G129" s="110" t="s">
        <v>102</v>
      </c>
      <c r="H129" s="131">
        <v>5000.0</v>
      </c>
      <c r="I129" s="107">
        <v>3.0</v>
      </c>
      <c r="J129" s="109">
        <f t="shared" si="20"/>
        <v>15000</v>
      </c>
      <c r="K129" s="1"/>
      <c r="L129" s="110" t="s">
        <v>102</v>
      </c>
      <c r="M129" s="131">
        <v>4000.0</v>
      </c>
      <c r="N129" s="107">
        <v>3.0</v>
      </c>
      <c r="O129" s="138">
        <f t="shared" si="21"/>
        <v>12000</v>
      </c>
      <c r="P129" s="1"/>
    </row>
    <row r="130" ht="15.75" customHeight="1">
      <c r="A130" s="1"/>
      <c r="B130" s="110" t="s">
        <v>103</v>
      </c>
      <c r="C130" s="131">
        <v>12000.0</v>
      </c>
      <c r="D130" s="107">
        <v>3.0</v>
      </c>
      <c r="E130" s="109">
        <f t="shared" si="18"/>
        <v>36000</v>
      </c>
      <c r="F130" s="66"/>
      <c r="G130" s="110" t="s">
        <v>103</v>
      </c>
      <c r="H130" s="131">
        <v>10000.0</v>
      </c>
      <c r="I130" s="107">
        <v>3.0</v>
      </c>
      <c r="J130" s="109">
        <f t="shared" si="20"/>
        <v>30000</v>
      </c>
      <c r="K130" s="1"/>
      <c r="L130" s="110" t="s">
        <v>103</v>
      </c>
      <c r="M130" s="131">
        <v>8000.0</v>
      </c>
      <c r="N130" s="107">
        <v>3.0</v>
      </c>
      <c r="O130" s="138">
        <f t="shared" si="21"/>
        <v>24000</v>
      </c>
      <c r="P130" s="1"/>
    </row>
    <row r="131" ht="15.75" customHeight="1">
      <c r="A131" s="1"/>
      <c r="B131" s="110" t="s">
        <v>104</v>
      </c>
      <c r="C131" s="131">
        <v>50000.0</v>
      </c>
      <c r="D131" s="107">
        <v>3.0</v>
      </c>
      <c r="E131" s="109">
        <f t="shared" si="18"/>
        <v>150000</v>
      </c>
      <c r="F131" s="66"/>
      <c r="G131" s="110" t="s">
        <v>104</v>
      </c>
      <c r="H131" s="131">
        <v>40000.0</v>
      </c>
      <c r="I131" s="107">
        <v>3.0</v>
      </c>
      <c r="J131" s="109">
        <f t="shared" si="20"/>
        <v>120000</v>
      </c>
      <c r="K131" s="1"/>
      <c r="L131" s="110" t="s">
        <v>104</v>
      </c>
      <c r="M131" s="131">
        <v>30000.0</v>
      </c>
      <c r="N131" s="107">
        <v>3.0</v>
      </c>
      <c r="O131" s="138">
        <f t="shared" si="21"/>
        <v>90000</v>
      </c>
      <c r="P131" s="1"/>
    </row>
    <row r="132" ht="18.75" customHeight="1">
      <c r="A132" s="4"/>
      <c r="B132" s="122" t="s">
        <v>56</v>
      </c>
      <c r="C132" s="87"/>
      <c r="D132" s="88"/>
      <c r="E132" s="123">
        <f>SUM(E113:E131)</f>
        <v>4652213</v>
      </c>
      <c r="F132" s="72"/>
      <c r="G132" s="122" t="s">
        <v>56</v>
      </c>
      <c r="H132" s="87"/>
      <c r="I132" s="88"/>
      <c r="J132" s="123">
        <f>SUM(J113:J131)</f>
        <v>3684072</v>
      </c>
      <c r="K132" s="4"/>
      <c r="L132" s="122" t="s">
        <v>56</v>
      </c>
      <c r="M132" s="87"/>
      <c r="N132" s="88"/>
      <c r="O132" s="123">
        <f>SUM(O113:O131)</f>
        <v>2631707</v>
      </c>
      <c r="P132" s="1"/>
    </row>
    <row r="133" ht="17.25" customHeight="1">
      <c r="A133" s="1"/>
      <c r="B133" s="97"/>
      <c r="C133" s="96"/>
      <c r="D133" s="96"/>
      <c r="E133" s="96"/>
      <c r="F133" s="66"/>
      <c r="G133" s="97"/>
      <c r="H133" s="96"/>
      <c r="I133" s="96"/>
      <c r="J133" s="96"/>
      <c r="K133" s="1"/>
      <c r="L133" s="97"/>
      <c r="M133" s="96"/>
      <c r="N133" s="96"/>
      <c r="O133" s="96"/>
      <c r="P133" s="1"/>
    </row>
    <row r="134" ht="24.0" customHeight="1">
      <c r="A134" s="4"/>
      <c r="B134" s="139" t="str">
        <f>'🏦COVER🏦'!D14</f>
        <v>#REF!</v>
      </c>
      <c r="C134" s="140" t="s">
        <v>5</v>
      </c>
      <c r="D134" s="140" t="s">
        <v>6</v>
      </c>
      <c r="E134" s="140" t="s">
        <v>7</v>
      </c>
      <c r="F134" s="141"/>
      <c r="G134" s="134" t="str">
        <f>B134</f>
        <v>#REF!</v>
      </c>
      <c r="H134" s="103" t="s">
        <v>5</v>
      </c>
      <c r="I134" s="103" t="s">
        <v>6</v>
      </c>
      <c r="J134" s="103" t="s">
        <v>7</v>
      </c>
      <c r="K134" s="16"/>
      <c r="L134" s="134" t="str">
        <f>B134</f>
        <v>#REF!</v>
      </c>
      <c r="M134" s="103" t="s">
        <v>5</v>
      </c>
      <c r="N134" s="103" t="s">
        <v>6</v>
      </c>
      <c r="O134" s="103" t="s">
        <v>7</v>
      </c>
      <c r="P134" s="135"/>
    </row>
    <row r="135" ht="15.0" customHeight="1">
      <c r="A135" s="4"/>
      <c r="B135" s="142" t="s">
        <v>105</v>
      </c>
      <c r="C135" s="106">
        <v>11000.0</v>
      </c>
      <c r="D135" s="143">
        <v>12.0</v>
      </c>
      <c r="E135" s="144">
        <f t="shared" ref="E135:E146" si="22">C135*D135</f>
        <v>132000</v>
      </c>
      <c r="F135" s="141" t="str">
        <f t="shared" ref="F135:F142" si="23">G135</f>
        <v>Stamp Duty (E-Materai) </v>
      </c>
      <c r="G135" s="176" t="s">
        <v>105</v>
      </c>
      <c r="H135" s="136">
        <v>11000.0</v>
      </c>
      <c r="I135" s="145">
        <v>10.0</v>
      </c>
      <c r="J135" s="137">
        <f t="shared" ref="J135:J146" si="24">H135*I135</f>
        <v>110000</v>
      </c>
      <c r="K135" s="146"/>
      <c r="L135" s="176" t="s">
        <v>105</v>
      </c>
      <c r="M135" s="131">
        <v>11000.0</v>
      </c>
      <c r="N135" s="107">
        <v>8.0</v>
      </c>
      <c r="O135" s="111">
        <f t="shared" ref="O135:O146" si="25">M135*N135</f>
        <v>88000</v>
      </c>
      <c r="P135" s="147"/>
    </row>
    <row r="136" ht="15.0" customHeight="1">
      <c r="A136" s="4"/>
      <c r="B136" s="148" t="s">
        <v>151</v>
      </c>
      <c r="C136" s="131">
        <v>12000.0</v>
      </c>
      <c r="D136" s="107">
        <v>10.0</v>
      </c>
      <c r="E136" s="149">
        <f t="shared" si="22"/>
        <v>120000</v>
      </c>
      <c r="F136" s="66" t="str">
        <f t="shared" si="23"/>
        <v> Stamp Duty (Materai Fisik)</v>
      </c>
      <c r="G136" s="148" t="s">
        <v>151</v>
      </c>
      <c r="H136" s="131">
        <v>12000.0</v>
      </c>
      <c r="I136" s="107">
        <v>7.0</v>
      </c>
      <c r="J136" s="150">
        <f t="shared" si="24"/>
        <v>84000</v>
      </c>
      <c r="K136" s="151"/>
      <c r="L136" s="148" t="s">
        <v>151</v>
      </c>
      <c r="M136" s="131">
        <v>12000.0</v>
      </c>
      <c r="N136" s="107">
        <v>5.0</v>
      </c>
      <c r="O136" s="111">
        <f t="shared" si="25"/>
        <v>60000</v>
      </c>
      <c r="P136" s="147"/>
    </row>
    <row r="137" ht="15.0" customHeight="1">
      <c r="A137" s="1"/>
      <c r="B137" s="148" t="s">
        <v>107</v>
      </c>
      <c r="C137" s="131">
        <v>27000.0</v>
      </c>
      <c r="D137" s="107">
        <v>3.0</v>
      </c>
      <c r="E137" s="109">
        <f t="shared" si="22"/>
        <v>81000</v>
      </c>
      <c r="F137" s="66" t="str">
        <f t="shared" si="23"/>
        <v> Hardcopy Proposal</v>
      </c>
      <c r="G137" s="148" t="s">
        <v>152</v>
      </c>
      <c r="H137" s="131">
        <v>22000.0</v>
      </c>
      <c r="I137" s="107">
        <v>3.0</v>
      </c>
      <c r="J137" s="109">
        <f t="shared" si="24"/>
        <v>66000</v>
      </c>
      <c r="K137" s="151"/>
      <c r="L137" s="148" t="s">
        <v>152</v>
      </c>
      <c r="M137" s="131">
        <v>17000.0</v>
      </c>
      <c r="N137" s="107">
        <v>3.0</v>
      </c>
      <c r="O137" s="109">
        <f t="shared" si="25"/>
        <v>51000</v>
      </c>
      <c r="P137" s="147"/>
    </row>
    <row r="138" ht="15.0" customHeight="1">
      <c r="A138" s="1"/>
      <c r="B138" s="148" t="s">
        <v>108</v>
      </c>
      <c r="C138" s="131">
        <v>16000.0</v>
      </c>
      <c r="D138" s="107">
        <v>18.0</v>
      </c>
      <c r="E138" s="109">
        <f t="shared" si="22"/>
        <v>288000</v>
      </c>
      <c r="F138" s="66" t="str">
        <f t="shared" si="23"/>
        <v> Hardcopy LoA</v>
      </c>
      <c r="G138" s="148" t="s">
        <v>153</v>
      </c>
      <c r="H138" s="131">
        <v>16000.0</v>
      </c>
      <c r="I138" s="107">
        <v>15.0</v>
      </c>
      <c r="J138" s="109">
        <f t="shared" si="24"/>
        <v>240000</v>
      </c>
      <c r="K138" s="147"/>
      <c r="L138" s="148" t="s">
        <v>153</v>
      </c>
      <c r="M138" s="131">
        <v>16000.0</v>
      </c>
      <c r="N138" s="107">
        <v>12.0</v>
      </c>
      <c r="O138" s="109">
        <f t="shared" si="25"/>
        <v>192000</v>
      </c>
      <c r="P138" s="147"/>
    </row>
    <row r="139" ht="15.0" customHeight="1">
      <c r="A139" s="1"/>
      <c r="B139" s="148" t="s">
        <v>109</v>
      </c>
      <c r="C139" s="131">
        <v>1000.0</v>
      </c>
      <c r="D139" s="112">
        <v>6.0</v>
      </c>
      <c r="E139" s="109">
        <f t="shared" si="22"/>
        <v>6000</v>
      </c>
      <c r="F139" s="66" t="str">
        <f t="shared" si="23"/>
        <v> Hardcopy Invoice</v>
      </c>
      <c r="G139" s="148" t="s">
        <v>154</v>
      </c>
      <c r="H139" s="131">
        <v>1000.0</v>
      </c>
      <c r="I139" s="112">
        <v>4.0</v>
      </c>
      <c r="J139" s="109">
        <f t="shared" si="24"/>
        <v>4000</v>
      </c>
      <c r="K139" s="152"/>
      <c r="L139" s="148" t="s">
        <v>154</v>
      </c>
      <c r="M139" s="131">
        <v>1000.0</v>
      </c>
      <c r="N139" s="112">
        <v>2.0</v>
      </c>
      <c r="O139" s="109">
        <f t="shared" si="25"/>
        <v>2000</v>
      </c>
      <c r="P139" s="152"/>
    </row>
    <row r="140" ht="15.0" customHeight="1">
      <c r="A140" s="1"/>
      <c r="B140" s="148" t="s">
        <v>110</v>
      </c>
      <c r="C140" s="131">
        <v>20000.0</v>
      </c>
      <c r="D140" s="112">
        <v>7.0</v>
      </c>
      <c r="E140" s="109">
        <f t="shared" si="22"/>
        <v>140000</v>
      </c>
      <c r="F140" s="66" t="str">
        <f t="shared" si="23"/>
        <v> Shipping Fee</v>
      </c>
      <c r="G140" s="148" t="s">
        <v>155</v>
      </c>
      <c r="H140" s="131">
        <v>20000.0</v>
      </c>
      <c r="I140" s="112">
        <v>5.0</v>
      </c>
      <c r="J140" s="109">
        <f t="shared" si="24"/>
        <v>100000</v>
      </c>
      <c r="K140" s="152"/>
      <c r="L140" s="148" t="s">
        <v>155</v>
      </c>
      <c r="M140" s="131">
        <v>20000.0</v>
      </c>
      <c r="N140" s="112">
        <v>3.0</v>
      </c>
      <c r="O140" s="109">
        <f t="shared" si="25"/>
        <v>60000</v>
      </c>
      <c r="P140" s="152"/>
    </row>
    <row r="141" ht="15.0" customHeight="1">
      <c r="A141" s="1"/>
      <c r="B141" s="148" t="s">
        <v>111</v>
      </c>
      <c r="C141" s="153">
        <v>4000.0</v>
      </c>
      <c r="D141" s="112">
        <v>12.0</v>
      </c>
      <c r="E141" s="109">
        <f t="shared" si="22"/>
        <v>48000</v>
      </c>
      <c r="F141" s="66" t="str">
        <f t="shared" si="23"/>
        <v>Hardcopy Partnership Letter</v>
      </c>
      <c r="G141" s="148" t="s">
        <v>111</v>
      </c>
      <c r="H141" s="153">
        <v>4000.0</v>
      </c>
      <c r="I141" s="112">
        <v>10.0</v>
      </c>
      <c r="J141" s="109">
        <f t="shared" si="24"/>
        <v>40000</v>
      </c>
      <c r="K141" s="1"/>
      <c r="L141" s="148" t="s">
        <v>111</v>
      </c>
      <c r="M141" s="153">
        <v>4000.0</v>
      </c>
      <c r="N141" s="112">
        <v>8.0</v>
      </c>
      <c r="O141" s="109">
        <f t="shared" si="25"/>
        <v>32000</v>
      </c>
      <c r="P141" s="1"/>
    </row>
    <row r="142" ht="15.0" customHeight="1">
      <c r="A142" s="1"/>
      <c r="B142" s="148" t="s">
        <v>112</v>
      </c>
      <c r="C142" s="154">
        <v>48000.0</v>
      </c>
      <c r="D142" s="155">
        <v>1.0</v>
      </c>
      <c r="E142" s="109">
        <f t="shared" si="22"/>
        <v>48000</v>
      </c>
      <c r="F142" s="66" t="str">
        <f t="shared" si="23"/>
        <v>Mineral Water bottle</v>
      </c>
      <c r="G142" s="148" t="s">
        <v>112</v>
      </c>
      <c r="H142" s="154">
        <v>44000.0</v>
      </c>
      <c r="I142" s="156">
        <v>1.0</v>
      </c>
      <c r="J142" s="109">
        <f t="shared" si="24"/>
        <v>44000</v>
      </c>
      <c r="K142" s="1"/>
      <c r="L142" s="148" t="s">
        <v>112</v>
      </c>
      <c r="M142" s="157">
        <v>40000.0</v>
      </c>
      <c r="N142" s="156">
        <v>1.0</v>
      </c>
      <c r="O142" s="109">
        <f t="shared" si="25"/>
        <v>40000</v>
      </c>
      <c r="P142" s="1"/>
    </row>
    <row r="143" ht="15.0" customHeight="1">
      <c r="A143" s="1"/>
      <c r="B143" s="148" t="s">
        <v>113</v>
      </c>
      <c r="C143" s="154">
        <v>30000.0</v>
      </c>
      <c r="D143" s="155">
        <v>2.0</v>
      </c>
      <c r="E143" s="109">
        <f t="shared" si="22"/>
        <v>60000</v>
      </c>
      <c r="F143" s="66"/>
      <c r="G143" s="148" t="s">
        <v>156</v>
      </c>
      <c r="H143" s="154">
        <v>26000.0</v>
      </c>
      <c r="I143" s="156">
        <v>2.0</v>
      </c>
      <c r="J143" s="109">
        <f t="shared" si="24"/>
        <v>52000</v>
      </c>
      <c r="K143" s="1"/>
      <c r="L143" s="148" t="s">
        <v>156</v>
      </c>
      <c r="M143" s="157">
        <v>25000.0</v>
      </c>
      <c r="N143" s="156">
        <v>2.0</v>
      </c>
      <c r="O143" s="109">
        <f t="shared" si="25"/>
        <v>50000</v>
      </c>
      <c r="P143" s="1"/>
    </row>
    <row r="144" ht="15.0" customHeight="1">
      <c r="A144" s="1"/>
      <c r="B144" s="148" t="s">
        <v>114</v>
      </c>
      <c r="C144" s="154">
        <v>28000.0</v>
      </c>
      <c r="D144" s="155">
        <v>25.0</v>
      </c>
      <c r="E144" s="109">
        <f t="shared" si="22"/>
        <v>700000</v>
      </c>
      <c r="F144" s="66"/>
      <c r="G144" s="148" t="s">
        <v>157</v>
      </c>
      <c r="H144" s="154">
        <v>25000.0</v>
      </c>
      <c r="I144" s="156">
        <v>25.0</v>
      </c>
      <c r="J144" s="109">
        <f t="shared" si="24"/>
        <v>625000</v>
      </c>
      <c r="K144" s="1"/>
      <c r="L144" s="148" t="s">
        <v>157</v>
      </c>
      <c r="M144" s="157">
        <v>20000.0</v>
      </c>
      <c r="N144" s="156">
        <v>25.0</v>
      </c>
      <c r="O144" s="109">
        <f t="shared" si="25"/>
        <v>500000</v>
      </c>
      <c r="P144" s="1"/>
    </row>
    <row r="145" ht="15.0" customHeight="1">
      <c r="A145" s="1"/>
      <c r="B145" s="148" t="s">
        <v>115</v>
      </c>
      <c r="C145" s="154">
        <v>20000.0</v>
      </c>
      <c r="D145" s="155">
        <v>2.0</v>
      </c>
      <c r="E145" s="109">
        <f t="shared" si="22"/>
        <v>40000</v>
      </c>
      <c r="F145" s="66"/>
      <c r="G145" s="148" t="s">
        <v>158</v>
      </c>
      <c r="H145" s="154">
        <v>17500.0</v>
      </c>
      <c r="I145" s="156">
        <v>2.0</v>
      </c>
      <c r="J145" s="109">
        <f t="shared" si="24"/>
        <v>35000</v>
      </c>
      <c r="K145" s="1"/>
      <c r="L145" s="148" t="s">
        <v>158</v>
      </c>
      <c r="M145" s="157">
        <v>15000.0</v>
      </c>
      <c r="N145" s="156">
        <v>2.0</v>
      </c>
      <c r="O145" s="109">
        <f t="shared" si="25"/>
        <v>30000</v>
      </c>
      <c r="P145" s="1"/>
    </row>
    <row r="146" ht="15.0" customHeight="1">
      <c r="A146" s="1"/>
      <c r="B146" s="148" t="s">
        <v>116</v>
      </c>
      <c r="C146" s="154">
        <v>5000.0</v>
      </c>
      <c r="D146" s="155">
        <v>2.0</v>
      </c>
      <c r="E146" s="109">
        <f t="shared" si="22"/>
        <v>10000</v>
      </c>
      <c r="F146" s="66"/>
      <c r="G146" s="148" t="s">
        <v>116</v>
      </c>
      <c r="H146" s="154">
        <v>4000.0</v>
      </c>
      <c r="I146" s="156">
        <v>2.0</v>
      </c>
      <c r="J146" s="109">
        <f t="shared" si="24"/>
        <v>8000</v>
      </c>
      <c r="K146" s="1"/>
      <c r="L146" s="148" t="s">
        <v>116</v>
      </c>
      <c r="M146" s="157">
        <v>3000.0</v>
      </c>
      <c r="N146" s="156">
        <v>2.0</v>
      </c>
      <c r="O146" s="109">
        <f t="shared" si="25"/>
        <v>6000</v>
      </c>
      <c r="P146" s="1"/>
    </row>
    <row r="147" ht="18.75" customHeight="1">
      <c r="A147" s="4"/>
      <c r="B147" s="122" t="s">
        <v>56</v>
      </c>
      <c r="C147" s="87"/>
      <c r="D147" s="88"/>
      <c r="E147" s="123">
        <f>SUM(E134:E146)</f>
        <v>1673000</v>
      </c>
      <c r="F147" s="72"/>
      <c r="G147" s="122" t="s">
        <v>56</v>
      </c>
      <c r="H147" s="87"/>
      <c r="I147" s="88"/>
      <c r="J147" s="123">
        <f>SUM(J134:J146)</f>
        <v>1408000</v>
      </c>
      <c r="K147" s="4"/>
      <c r="L147" s="122" t="s">
        <v>56</v>
      </c>
      <c r="M147" s="87"/>
      <c r="N147" s="88"/>
      <c r="O147" s="123">
        <f>SUM(O134:O146)</f>
        <v>1111000</v>
      </c>
      <c r="P147" s="1"/>
    </row>
    <row r="148" ht="15.0" customHeight="1">
      <c r="A148" s="1"/>
      <c r="B148" s="1"/>
      <c r="C148" s="1"/>
      <c r="D148" s="1"/>
      <c r="E148" s="1"/>
      <c r="F148" s="66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27.0" customHeight="1">
      <c r="A149" s="1"/>
      <c r="B149" s="102" t="str">
        <f>'🏦COVER🏦'!D15</f>
        <v>#REF!</v>
      </c>
      <c r="C149" s="125" t="s">
        <v>5</v>
      </c>
      <c r="D149" s="125" t="s">
        <v>6</v>
      </c>
      <c r="E149" s="125" t="s">
        <v>7</v>
      </c>
      <c r="F149" s="66"/>
      <c r="G149" s="102" t="str">
        <f>B149</f>
        <v>#REF!</v>
      </c>
      <c r="H149" s="125" t="s">
        <v>5</v>
      </c>
      <c r="I149" s="125" t="s">
        <v>6</v>
      </c>
      <c r="J149" s="125" t="s">
        <v>7</v>
      </c>
      <c r="K149" s="1"/>
      <c r="L149" s="102" t="str">
        <f>B149</f>
        <v>#REF!</v>
      </c>
      <c r="M149" s="125" t="s">
        <v>5</v>
      </c>
      <c r="N149" s="125" t="s">
        <v>6</v>
      </c>
      <c r="O149" s="125" t="s">
        <v>7</v>
      </c>
      <c r="P149" s="1"/>
    </row>
    <row r="150" ht="15.0" customHeight="1">
      <c r="A150" s="4"/>
      <c r="B150" s="105" t="s">
        <v>117</v>
      </c>
      <c r="C150" s="158">
        <v>11700.0</v>
      </c>
      <c r="D150" s="159">
        <v>4.0</v>
      </c>
      <c r="E150" s="108">
        <f t="shared" ref="E150:E159" si="26">C150*D150</f>
        <v>46800</v>
      </c>
      <c r="F150" s="66" t="str">
        <f t="shared" ref="F150:F153" si="27">G150</f>
        <v>Karton 68x78</v>
      </c>
      <c r="G150" s="105" t="s">
        <v>118</v>
      </c>
      <c r="H150" s="158">
        <v>8500.0</v>
      </c>
      <c r="I150" s="159">
        <v>4.0</v>
      </c>
      <c r="J150" s="108">
        <f t="shared" ref="J150:J159" si="28">H150*I150</f>
        <v>34000</v>
      </c>
      <c r="K150" s="1"/>
      <c r="L150" s="105" t="s">
        <v>118</v>
      </c>
      <c r="M150" s="158">
        <v>3737.0</v>
      </c>
      <c r="N150" s="159">
        <v>4.0</v>
      </c>
      <c r="O150" s="108">
        <f t="shared" ref="O150:O159" si="29">M150*N150</f>
        <v>14948</v>
      </c>
      <c r="P150" s="1"/>
    </row>
    <row r="151" ht="15.0" customHeight="1">
      <c r="A151" s="1"/>
      <c r="B151" s="110" t="s">
        <v>119</v>
      </c>
      <c r="C151" s="160">
        <v>85000.0</v>
      </c>
      <c r="D151" s="112">
        <v>6.0</v>
      </c>
      <c r="E151" s="111">
        <f t="shared" si="26"/>
        <v>510000</v>
      </c>
      <c r="F151" s="66" t="str">
        <f t="shared" si="27"/>
        <v>Kardus Besar size kulkas</v>
      </c>
      <c r="G151" s="110" t="s">
        <v>119</v>
      </c>
      <c r="H151" s="161">
        <v>55000.0</v>
      </c>
      <c r="I151" s="112">
        <v>6.0</v>
      </c>
      <c r="J151" s="111">
        <f t="shared" si="28"/>
        <v>330000</v>
      </c>
      <c r="K151" s="1"/>
      <c r="L151" s="110" t="s">
        <v>119</v>
      </c>
      <c r="M151" s="161">
        <v>55000.0</v>
      </c>
      <c r="N151" s="112">
        <v>6.0</v>
      </c>
      <c r="O151" s="111">
        <f t="shared" si="29"/>
        <v>330000</v>
      </c>
      <c r="P151" s="1"/>
    </row>
    <row r="152" ht="15.0" customHeight="1">
      <c r="A152" s="1"/>
      <c r="B152" s="162" t="s">
        <v>120</v>
      </c>
      <c r="C152" s="163">
        <v>420000.0</v>
      </c>
      <c r="D152" s="164">
        <v>1.0</v>
      </c>
      <c r="E152" s="111">
        <f t="shared" si="26"/>
        <v>420000</v>
      </c>
      <c r="F152" s="66" t="str">
        <f t="shared" si="27"/>
        <v>Lensa Canon 24-70MM F/2.8L </v>
      </c>
      <c r="G152" s="162" t="s">
        <v>120</v>
      </c>
      <c r="H152" s="165">
        <v>400000.0</v>
      </c>
      <c r="I152" s="112">
        <v>1.0</v>
      </c>
      <c r="J152" s="111">
        <f t="shared" si="28"/>
        <v>400000</v>
      </c>
      <c r="K152" s="1"/>
      <c r="L152" s="162" t="s">
        <v>120</v>
      </c>
      <c r="M152" s="165">
        <v>340000.0</v>
      </c>
      <c r="N152" s="112">
        <v>1.0</v>
      </c>
      <c r="O152" s="111">
        <f t="shared" si="29"/>
        <v>340000</v>
      </c>
      <c r="P152" s="1"/>
    </row>
    <row r="153" ht="15.0" customHeight="1">
      <c r="A153" s="1"/>
      <c r="B153" s="162" t="s">
        <v>121</v>
      </c>
      <c r="C153" s="163">
        <v>520000.0</v>
      </c>
      <c r="D153" s="166">
        <v>1.0</v>
      </c>
      <c r="E153" s="111">
        <f t="shared" si="26"/>
        <v>520000</v>
      </c>
      <c r="F153" s="66" t="str">
        <f t="shared" si="27"/>
        <v>Lensa Fuji 16-55mm</v>
      </c>
      <c r="G153" s="162" t="s">
        <v>121</v>
      </c>
      <c r="H153" s="165">
        <v>500000.0</v>
      </c>
      <c r="I153" s="107">
        <v>1.0</v>
      </c>
      <c r="J153" s="111">
        <f t="shared" si="28"/>
        <v>500000</v>
      </c>
      <c r="K153" s="1"/>
      <c r="L153" s="162" t="s">
        <v>121</v>
      </c>
      <c r="M153" s="165">
        <v>450000.0</v>
      </c>
      <c r="N153" s="107">
        <v>1.0</v>
      </c>
      <c r="O153" s="111">
        <f t="shared" si="29"/>
        <v>450000</v>
      </c>
      <c r="P153" s="1"/>
    </row>
    <row r="154" ht="15.0" customHeight="1">
      <c r="A154" s="1"/>
      <c r="B154" s="167" t="s">
        <v>122</v>
      </c>
      <c r="C154" s="165">
        <v>200000.0</v>
      </c>
      <c r="D154" s="166">
        <v>1.0</v>
      </c>
      <c r="E154" s="111">
        <f t="shared" si="26"/>
        <v>200000</v>
      </c>
      <c r="F154" s="66"/>
      <c r="G154" s="167" t="s">
        <v>122</v>
      </c>
      <c r="H154" s="165">
        <v>150000.0</v>
      </c>
      <c r="I154" s="112">
        <v>1.0</v>
      </c>
      <c r="J154" s="111">
        <f t="shared" si="28"/>
        <v>150000</v>
      </c>
      <c r="K154" s="1"/>
      <c r="L154" s="167" t="s">
        <v>122</v>
      </c>
      <c r="M154" s="165">
        <v>110000.0</v>
      </c>
      <c r="N154" s="112">
        <v>1.0</v>
      </c>
      <c r="O154" s="111">
        <f t="shared" si="29"/>
        <v>110000</v>
      </c>
      <c r="P154" s="1"/>
    </row>
    <row r="155" ht="15.0" customHeight="1">
      <c r="A155" s="1"/>
      <c r="B155" s="110" t="s">
        <v>123</v>
      </c>
      <c r="C155" s="165">
        <v>9000.0</v>
      </c>
      <c r="D155" s="155">
        <v>4.0</v>
      </c>
      <c r="E155" s="111">
        <f t="shared" si="26"/>
        <v>36000</v>
      </c>
      <c r="F155" s="66" t="str">
        <f t="shared" ref="F155:F159" si="30">G155</f>
        <v>Daun Palem</v>
      </c>
      <c r="G155" s="110" t="s">
        <v>123</v>
      </c>
      <c r="H155" s="165">
        <v>5000.0</v>
      </c>
      <c r="I155" s="112">
        <v>4.0</v>
      </c>
      <c r="J155" s="111">
        <f t="shared" si="28"/>
        <v>20000</v>
      </c>
      <c r="K155" s="1"/>
      <c r="L155" s="110" t="s">
        <v>123</v>
      </c>
      <c r="M155" s="165">
        <v>3800.0</v>
      </c>
      <c r="N155" s="112">
        <v>4.0</v>
      </c>
      <c r="O155" s="111">
        <f t="shared" si="29"/>
        <v>15200</v>
      </c>
      <c r="P155" s="1"/>
    </row>
    <row r="156" ht="15.0" customHeight="1">
      <c r="A156" s="1"/>
      <c r="B156" s="110" t="s">
        <v>124</v>
      </c>
      <c r="C156" s="165">
        <v>8500.0</v>
      </c>
      <c r="D156" s="155">
        <v>8.0</v>
      </c>
      <c r="E156" s="111">
        <f t="shared" si="26"/>
        <v>68000</v>
      </c>
      <c r="F156" s="66" t="str">
        <f t="shared" si="30"/>
        <v>Karton Padi A2</v>
      </c>
      <c r="G156" s="110" t="s">
        <v>124</v>
      </c>
      <c r="H156" s="165">
        <v>4000.0</v>
      </c>
      <c r="I156" s="112">
        <v>8.0</v>
      </c>
      <c r="J156" s="111">
        <f t="shared" si="28"/>
        <v>32000</v>
      </c>
      <c r="K156" s="1"/>
      <c r="L156" s="110" t="s">
        <v>124</v>
      </c>
      <c r="M156" s="165">
        <v>3500.0</v>
      </c>
      <c r="N156" s="112">
        <v>8.0</v>
      </c>
      <c r="O156" s="111">
        <f t="shared" si="29"/>
        <v>28000</v>
      </c>
      <c r="P156" s="1"/>
    </row>
    <row r="157" ht="15.0" customHeight="1">
      <c r="A157" s="1"/>
      <c r="B157" s="110" t="s">
        <v>125</v>
      </c>
      <c r="C157" s="165">
        <v>32000.0</v>
      </c>
      <c r="D157" s="155">
        <v>8.0</v>
      </c>
      <c r="E157" s="111">
        <f t="shared" si="26"/>
        <v>256000</v>
      </c>
      <c r="F157" s="66" t="str">
        <f t="shared" si="30"/>
        <v>Print Dekor Pangung (Gapura) A2</v>
      </c>
      <c r="G157" s="110" t="s">
        <v>125</v>
      </c>
      <c r="H157" s="165">
        <v>19000.0</v>
      </c>
      <c r="I157" s="112">
        <v>8.0</v>
      </c>
      <c r="J157" s="111">
        <f t="shared" si="28"/>
        <v>152000</v>
      </c>
      <c r="K157" s="1"/>
      <c r="L157" s="110" t="s">
        <v>125</v>
      </c>
      <c r="M157" s="165">
        <v>17000.0</v>
      </c>
      <c r="N157" s="112">
        <v>8.0</v>
      </c>
      <c r="O157" s="111">
        <f t="shared" si="29"/>
        <v>136000</v>
      </c>
      <c r="P157" s="1"/>
    </row>
    <row r="158" ht="15.0" customHeight="1">
      <c r="A158" s="1"/>
      <c r="B158" s="110" t="s">
        <v>126</v>
      </c>
      <c r="C158" s="165">
        <v>7500.0</v>
      </c>
      <c r="D158" s="155">
        <v>4.0</v>
      </c>
      <c r="E158" s="111">
        <f t="shared" si="26"/>
        <v>30000</v>
      </c>
      <c r="F158" s="66" t="str">
        <f t="shared" si="30"/>
        <v>Daun Ilalang</v>
      </c>
      <c r="G158" s="110" t="s">
        <v>126</v>
      </c>
      <c r="H158" s="165">
        <v>6480.0</v>
      </c>
      <c r="I158" s="112">
        <v>4.0</v>
      </c>
      <c r="J158" s="111">
        <f t="shared" si="28"/>
        <v>25920</v>
      </c>
      <c r="K158" s="1"/>
      <c r="L158" s="110" t="s">
        <v>126</v>
      </c>
      <c r="M158" s="165">
        <v>5700.0</v>
      </c>
      <c r="N158" s="112">
        <v>4.0</v>
      </c>
      <c r="O158" s="111">
        <f t="shared" si="29"/>
        <v>22800</v>
      </c>
      <c r="P158" s="1"/>
    </row>
    <row r="159" ht="15.0" customHeight="1">
      <c r="A159" s="1"/>
      <c r="B159" s="110" t="s">
        <v>127</v>
      </c>
      <c r="C159" s="165">
        <v>10000.0</v>
      </c>
      <c r="D159" s="155">
        <v>8.0</v>
      </c>
      <c r="E159" s="111">
        <f t="shared" si="26"/>
        <v>80000</v>
      </c>
      <c r="F159" s="66" t="str">
        <f t="shared" si="30"/>
        <v>Print Dekor Panggung Front View A3</v>
      </c>
      <c r="G159" s="110" t="s">
        <v>127</v>
      </c>
      <c r="H159" s="165">
        <v>5300.0</v>
      </c>
      <c r="I159" s="112">
        <v>8.0</v>
      </c>
      <c r="J159" s="111">
        <f t="shared" si="28"/>
        <v>42400</v>
      </c>
      <c r="K159" s="1"/>
      <c r="L159" s="110" t="s">
        <v>127</v>
      </c>
      <c r="M159" s="165">
        <v>4000.0</v>
      </c>
      <c r="N159" s="112">
        <v>8.0</v>
      </c>
      <c r="O159" s="111">
        <f t="shared" si="29"/>
        <v>32000</v>
      </c>
      <c r="P159" s="1"/>
    </row>
    <row r="160" ht="15.0" customHeight="1">
      <c r="A160" s="4"/>
      <c r="B160" s="122" t="s">
        <v>56</v>
      </c>
      <c r="C160" s="87"/>
      <c r="D160" s="88"/>
      <c r="E160" s="123">
        <f>SUM(E151:E159)</f>
        <v>2120000</v>
      </c>
      <c r="F160" s="133" t="s">
        <v>128</v>
      </c>
      <c r="G160" s="122" t="s">
        <v>56</v>
      </c>
      <c r="H160" s="87"/>
      <c r="I160" s="88"/>
      <c r="J160" s="123">
        <f>SUM(J151:J159)</f>
        <v>1652320</v>
      </c>
      <c r="K160" s="4"/>
      <c r="L160" s="122" t="s">
        <v>56</v>
      </c>
      <c r="M160" s="87"/>
      <c r="N160" s="88"/>
      <c r="O160" s="123">
        <f>SUM(O151:O159)</f>
        <v>1464000</v>
      </c>
      <c r="P160" s="1"/>
    </row>
    <row r="161" ht="15.0" customHeight="1">
      <c r="A161" s="1"/>
      <c r="B161" s="168"/>
      <c r="C161" s="168"/>
      <c r="D161" s="168"/>
      <c r="E161" s="1"/>
      <c r="F161" s="169" t="s">
        <v>129</v>
      </c>
      <c r="G161" s="168"/>
      <c r="H161" s="168"/>
      <c r="I161" s="168"/>
      <c r="J161" s="1"/>
      <c r="K161" s="1"/>
      <c r="L161" s="168"/>
      <c r="M161" s="168"/>
      <c r="N161" s="168"/>
      <c r="O161" s="1"/>
      <c r="P161" s="1"/>
    </row>
    <row r="162" ht="24.75" customHeight="1">
      <c r="A162" s="1"/>
      <c r="B162" s="102" t="str">
        <f>'🏦COVER🏦'!D16</f>
        <v>#REF!</v>
      </c>
      <c r="C162" s="125" t="s">
        <v>5</v>
      </c>
      <c r="D162" s="125" t="s">
        <v>6</v>
      </c>
      <c r="E162" s="125" t="s">
        <v>7</v>
      </c>
      <c r="F162" s="66"/>
      <c r="G162" s="102" t="str">
        <f>B162</f>
        <v>#REF!</v>
      </c>
      <c r="H162" s="125" t="s">
        <v>5</v>
      </c>
      <c r="I162" s="125" t="s">
        <v>6</v>
      </c>
      <c r="J162" s="125" t="s">
        <v>7</v>
      </c>
      <c r="K162" s="1"/>
      <c r="L162" s="102" t="str">
        <f>B162</f>
        <v>#REF!</v>
      </c>
      <c r="M162" s="125" t="s">
        <v>5</v>
      </c>
      <c r="N162" s="125" t="s">
        <v>6</v>
      </c>
      <c r="O162" s="125" t="s">
        <v>7</v>
      </c>
      <c r="P162" s="1"/>
    </row>
    <row r="163" ht="15.0" customHeight="1">
      <c r="A163" s="4"/>
      <c r="B163" s="105" t="s">
        <v>130</v>
      </c>
      <c r="C163" s="158">
        <v>885000.0</v>
      </c>
      <c r="D163" s="159">
        <v>362.0</v>
      </c>
      <c r="E163" s="108">
        <f t="shared" ref="E163:E164" si="31">C163*D163</f>
        <v>320370000</v>
      </c>
      <c r="F163" s="66" t="str">
        <f>G163</f>
        <v>Hotels &amp; Venue</v>
      </c>
      <c r="G163" s="105" t="s">
        <v>130</v>
      </c>
      <c r="H163" s="158">
        <v>885000.0</v>
      </c>
      <c r="I163" s="112">
        <v>369.0</v>
      </c>
      <c r="J163" s="108">
        <f t="shared" ref="J163:J173" si="32">H163*I163</f>
        <v>326565000</v>
      </c>
      <c r="K163" s="4"/>
      <c r="L163" s="105" t="str">
        <f>G163</f>
        <v>Hotels &amp; Venue</v>
      </c>
      <c r="M163" s="158">
        <v>885000.0</v>
      </c>
      <c r="N163" s="159">
        <v>369.0</v>
      </c>
      <c r="O163" s="108">
        <f t="shared" ref="O163:O164" si="33">M163*N163</f>
        <v>326565000</v>
      </c>
      <c r="P163" s="1"/>
    </row>
    <row r="164" ht="15.0" customHeight="1">
      <c r="A164" s="4"/>
      <c r="B164" s="110" t="s">
        <v>159</v>
      </c>
      <c r="C164" s="161">
        <v>500000.0</v>
      </c>
      <c r="D164" s="112">
        <v>1.0</v>
      </c>
      <c r="E164" s="108">
        <f t="shared" si="31"/>
        <v>500000</v>
      </c>
      <c r="F164" s="66"/>
      <c r="G164" s="110" t="s">
        <v>159</v>
      </c>
      <c r="H164" s="161">
        <v>400000.0</v>
      </c>
      <c r="I164" s="112">
        <v>1.0</v>
      </c>
      <c r="J164" s="108">
        <f t="shared" si="32"/>
        <v>400000</v>
      </c>
      <c r="K164" s="4"/>
      <c r="L164" s="110" t="s">
        <v>159</v>
      </c>
      <c r="M164" s="161">
        <v>300000.0</v>
      </c>
      <c r="N164" s="112">
        <v>1.0</v>
      </c>
      <c r="O164" s="108">
        <f t="shared" si="33"/>
        <v>300000</v>
      </c>
      <c r="P164" s="1"/>
    </row>
    <row r="165" ht="15.0" customHeight="1">
      <c r="A165" s="4"/>
      <c r="B165" s="110"/>
      <c r="C165" s="161"/>
      <c r="D165" s="112"/>
      <c r="E165" s="111"/>
      <c r="F165" s="66"/>
      <c r="G165" s="110" t="s">
        <v>133</v>
      </c>
      <c r="H165" s="161">
        <v>2500000.0</v>
      </c>
      <c r="I165" s="112">
        <v>4.0</v>
      </c>
      <c r="J165" s="108">
        <f t="shared" si="32"/>
        <v>10000000</v>
      </c>
      <c r="K165" s="4"/>
      <c r="L165" s="110"/>
      <c r="M165" s="161"/>
      <c r="N165" s="112"/>
      <c r="O165" s="111"/>
      <c r="P165" s="1"/>
    </row>
    <row r="166" ht="15.0" customHeight="1">
      <c r="A166" s="1"/>
      <c r="B166" s="127" t="s">
        <v>131</v>
      </c>
      <c r="C166" s="161">
        <v>4000000.0</v>
      </c>
      <c r="D166" s="112">
        <v>5.0</v>
      </c>
      <c r="E166" s="149">
        <f t="shared" ref="E166:E173" si="34">C166*D166</f>
        <v>20000000</v>
      </c>
      <c r="F166" s="66" t="str">
        <f t="shared" ref="F166:F173" si="35">G166</f>
        <v>CDT+LCP Pre-Meeting Homestay</v>
      </c>
      <c r="G166" s="127" t="s">
        <v>131</v>
      </c>
      <c r="H166" s="161">
        <v>3500000.0</v>
      </c>
      <c r="I166" s="112">
        <v>5.0</v>
      </c>
      <c r="J166" s="108">
        <f t="shared" si="32"/>
        <v>17500000</v>
      </c>
      <c r="K166" s="4"/>
      <c r="L166" s="127" t="str">
        <f t="shared" ref="L166:L172" si="36">G166</f>
        <v>CDT+LCP Pre-Meeting Homestay</v>
      </c>
      <c r="M166" s="161">
        <v>3200000.0</v>
      </c>
      <c r="N166" s="112">
        <v>5.0</v>
      </c>
      <c r="O166" s="149">
        <f t="shared" ref="O166:O173" si="37">M166*N166</f>
        <v>16000000</v>
      </c>
      <c r="P166" s="1"/>
    </row>
    <row r="167" ht="15.0" customHeight="1">
      <c r="A167" s="1"/>
      <c r="B167" s="127" t="s">
        <v>160</v>
      </c>
      <c r="C167" s="161">
        <v>225000.0</v>
      </c>
      <c r="D167" s="112">
        <v>39.0</v>
      </c>
      <c r="E167" s="149">
        <f t="shared" si="34"/>
        <v>8775000</v>
      </c>
      <c r="F167" s="66" t="str">
        <f t="shared" si="35"/>
        <v>CDT Consumptions (15x makan)</v>
      </c>
      <c r="G167" s="127" t="s">
        <v>160</v>
      </c>
      <c r="H167" s="161">
        <v>165000.0</v>
      </c>
      <c r="I167" s="112">
        <v>39.0</v>
      </c>
      <c r="J167" s="149">
        <f t="shared" si="32"/>
        <v>6435000</v>
      </c>
      <c r="K167" s="4"/>
      <c r="L167" s="127" t="str">
        <f t="shared" si="36"/>
        <v>CDT Consumptions (15x makan)</v>
      </c>
      <c r="M167" s="161">
        <v>135000.0</v>
      </c>
      <c r="N167" s="112">
        <v>39.0</v>
      </c>
      <c r="O167" s="149">
        <f t="shared" si="37"/>
        <v>5265000</v>
      </c>
      <c r="P167" s="1"/>
    </row>
    <row r="168" ht="15.0" customHeight="1">
      <c r="A168" s="1"/>
      <c r="B168" s="127" t="s">
        <v>135</v>
      </c>
      <c r="C168" s="161">
        <v>0.0</v>
      </c>
      <c r="D168" s="112">
        <v>0.0</v>
      </c>
      <c r="E168" s="149">
        <f t="shared" si="34"/>
        <v>0</v>
      </c>
      <c r="F168" s="66" t="str">
        <f t="shared" si="35"/>
        <v>Chair Transportation</v>
      </c>
      <c r="G168" s="127" t="s">
        <v>135</v>
      </c>
      <c r="H168" s="161">
        <v>0.0</v>
      </c>
      <c r="I168" s="112">
        <v>0.0</v>
      </c>
      <c r="J168" s="130">
        <f t="shared" si="32"/>
        <v>0</v>
      </c>
      <c r="K168" s="1"/>
      <c r="L168" s="127" t="str">
        <f t="shared" si="36"/>
        <v>Chair Transportation</v>
      </c>
      <c r="M168" s="161">
        <v>0.0</v>
      </c>
      <c r="N168" s="112">
        <v>0.0</v>
      </c>
      <c r="O168" s="130">
        <f t="shared" si="37"/>
        <v>0</v>
      </c>
      <c r="P168" s="1"/>
    </row>
    <row r="169" ht="15.0" customHeight="1">
      <c r="A169" s="1"/>
      <c r="B169" s="127" t="s">
        <v>136</v>
      </c>
      <c r="C169" s="161">
        <v>135000.0</v>
      </c>
      <c r="D169" s="112">
        <v>27.0</v>
      </c>
      <c r="E169" s="149">
        <f t="shared" si="34"/>
        <v>3645000</v>
      </c>
      <c r="F169" s="66" t="str">
        <f t="shared" si="35"/>
        <v>LCP Pre-Meeting Consumption (9x makan)</v>
      </c>
      <c r="G169" s="127" t="s">
        <v>136</v>
      </c>
      <c r="H169" s="161">
        <v>99000.0</v>
      </c>
      <c r="I169" s="112">
        <v>27.0</v>
      </c>
      <c r="J169" s="138">
        <f t="shared" si="32"/>
        <v>2673000</v>
      </c>
      <c r="K169" s="1"/>
      <c r="L169" s="127" t="str">
        <f t="shared" si="36"/>
        <v>LCP Pre-Meeting Consumption (9x makan)</v>
      </c>
      <c r="M169" s="161">
        <v>81000.0</v>
      </c>
      <c r="N169" s="112">
        <v>27.0</v>
      </c>
      <c r="O169" s="138">
        <f t="shared" si="37"/>
        <v>2187000</v>
      </c>
      <c r="P169" s="1"/>
    </row>
    <row r="170" ht="15.0" customHeight="1">
      <c r="A170" s="1"/>
      <c r="B170" s="127" t="s">
        <v>137</v>
      </c>
      <c r="C170" s="161">
        <v>12000.0</v>
      </c>
      <c r="D170" s="112">
        <v>8.0</v>
      </c>
      <c r="E170" s="149">
        <f t="shared" si="34"/>
        <v>96000</v>
      </c>
      <c r="F170" s="66" t="str">
        <f t="shared" si="35"/>
        <v>Air Galon</v>
      </c>
      <c r="G170" s="127" t="s">
        <v>137</v>
      </c>
      <c r="H170" s="161">
        <v>10000.0</v>
      </c>
      <c r="I170" s="112">
        <v>8.0</v>
      </c>
      <c r="J170" s="149">
        <f t="shared" si="32"/>
        <v>80000</v>
      </c>
      <c r="K170" s="1"/>
      <c r="L170" s="127" t="str">
        <f t="shared" si="36"/>
        <v>Air Galon</v>
      </c>
      <c r="M170" s="161">
        <v>8000.0</v>
      </c>
      <c r="N170" s="112">
        <v>8.0</v>
      </c>
      <c r="O170" s="149">
        <f t="shared" si="37"/>
        <v>64000</v>
      </c>
      <c r="P170" s="1"/>
    </row>
    <row r="171" ht="15.0" customHeight="1">
      <c r="A171" s="1"/>
      <c r="B171" s="127" t="s">
        <v>138</v>
      </c>
      <c r="C171" s="161">
        <v>9600.0</v>
      </c>
      <c r="D171" s="112">
        <v>2.0</v>
      </c>
      <c r="E171" s="149">
        <f t="shared" si="34"/>
        <v>19200</v>
      </c>
      <c r="F171" s="66" t="str">
        <f t="shared" si="35"/>
        <v>Trash Bag</v>
      </c>
      <c r="G171" s="127" t="s">
        <v>138</v>
      </c>
      <c r="H171" s="161">
        <v>6749.0</v>
      </c>
      <c r="I171" s="112">
        <v>5.0</v>
      </c>
      <c r="J171" s="149">
        <f t="shared" si="32"/>
        <v>33745</v>
      </c>
      <c r="K171" s="1"/>
      <c r="L171" s="127" t="str">
        <f t="shared" si="36"/>
        <v>Trash Bag</v>
      </c>
      <c r="M171" s="161">
        <v>6620.0</v>
      </c>
      <c r="N171" s="112">
        <v>5.0</v>
      </c>
      <c r="O171" s="149">
        <f t="shared" si="37"/>
        <v>33100</v>
      </c>
      <c r="P171" s="1"/>
    </row>
    <row r="172" ht="15.0" customHeight="1">
      <c r="A172" s="1"/>
      <c r="B172" s="127" t="s">
        <v>139</v>
      </c>
      <c r="C172" s="161">
        <v>2500000.0</v>
      </c>
      <c r="D172" s="112">
        <v>1.0</v>
      </c>
      <c r="E172" s="149">
        <f t="shared" si="34"/>
        <v>2500000</v>
      </c>
      <c r="F172" s="66" t="str">
        <f t="shared" si="35"/>
        <v>Transportation and Mobilization Fee</v>
      </c>
      <c r="G172" s="127" t="s">
        <v>139</v>
      </c>
      <c r="H172" s="161">
        <v>2000000.0</v>
      </c>
      <c r="I172" s="112">
        <v>1.0</v>
      </c>
      <c r="J172" s="149">
        <f t="shared" si="32"/>
        <v>2000000</v>
      </c>
      <c r="K172" s="1"/>
      <c r="L172" s="127" t="str">
        <f t="shared" si="36"/>
        <v>Transportation and Mobilization Fee</v>
      </c>
      <c r="M172" s="161">
        <v>1500000.0</v>
      </c>
      <c r="N172" s="112">
        <v>1.0</v>
      </c>
      <c r="O172" s="149">
        <f t="shared" si="37"/>
        <v>1500000</v>
      </c>
      <c r="P172" s="1"/>
    </row>
    <row r="173" ht="15.0" customHeight="1">
      <c r="A173" s="1"/>
      <c r="B173" s="127" t="s">
        <v>161</v>
      </c>
      <c r="C173" s="161">
        <v>2000000.0</v>
      </c>
      <c r="D173" s="112">
        <v>10.0</v>
      </c>
      <c r="E173" s="149">
        <f t="shared" si="34"/>
        <v>20000000</v>
      </c>
      <c r="F173" s="66" t="str">
        <f t="shared" si="35"/>
        <v>WLL Bus</v>
      </c>
      <c r="G173" s="127" t="s">
        <v>161</v>
      </c>
      <c r="H173" s="161">
        <v>1500000.0</v>
      </c>
      <c r="I173" s="112">
        <v>10.0</v>
      </c>
      <c r="J173" s="149">
        <f t="shared" si="32"/>
        <v>15000000</v>
      </c>
      <c r="K173" s="1"/>
      <c r="L173" s="127" t="s">
        <v>161</v>
      </c>
      <c r="M173" s="161">
        <v>1200000.0</v>
      </c>
      <c r="N173" s="112">
        <v>10.0</v>
      </c>
      <c r="O173" s="149">
        <f t="shared" si="37"/>
        <v>12000000</v>
      </c>
      <c r="P173" s="1"/>
    </row>
    <row r="174" ht="18.75" customHeight="1">
      <c r="A174" s="4"/>
      <c r="B174" s="122" t="s">
        <v>56</v>
      </c>
      <c r="C174" s="87"/>
      <c r="D174" s="88"/>
      <c r="E174" s="123">
        <f>SUM(E163:E173)</f>
        <v>375905200</v>
      </c>
      <c r="F174" s="4"/>
      <c r="G174" s="122" t="s">
        <v>56</v>
      </c>
      <c r="H174" s="87"/>
      <c r="I174" s="88"/>
      <c r="J174" s="123">
        <f>SUM(J163:J173)</f>
        <v>380686745</v>
      </c>
      <c r="K174" s="4"/>
      <c r="L174" s="122" t="s">
        <v>56</v>
      </c>
      <c r="M174" s="87"/>
      <c r="N174" s="88"/>
      <c r="O174" s="123">
        <f>SUM(O163:O173)</f>
        <v>363914100</v>
      </c>
      <c r="P174" s="1"/>
    </row>
    <row r="175" ht="15.0" customHeight="1">
      <c r="A175" s="1"/>
      <c r="B175" s="168"/>
      <c r="C175" s="168"/>
      <c r="D175" s="168"/>
      <c r="E175" s="1"/>
      <c r="F175" s="1"/>
      <c r="G175" s="168"/>
      <c r="H175" s="168"/>
      <c r="I175" s="168"/>
      <c r="J175" s="1"/>
      <c r="K175" s="1"/>
      <c r="L175" s="168"/>
      <c r="M175" s="168"/>
      <c r="N175" s="168"/>
      <c r="O175" s="1"/>
      <c r="P175" s="1"/>
    </row>
  </sheetData>
  <mergeCells count="58">
    <mergeCell ref="L29:N29"/>
    <mergeCell ref="L30:N30"/>
    <mergeCell ref="L32:N32"/>
    <mergeCell ref="L33:N33"/>
    <mergeCell ref="L34:N34"/>
    <mergeCell ref="L35:N35"/>
    <mergeCell ref="L36:N36"/>
    <mergeCell ref="G30:I30"/>
    <mergeCell ref="G31:I31"/>
    <mergeCell ref="G32:I32"/>
    <mergeCell ref="G33:I33"/>
    <mergeCell ref="G34:I34"/>
    <mergeCell ref="G35:I35"/>
    <mergeCell ref="G36:I36"/>
    <mergeCell ref="B1:O1"/>
    <mergeCell ref="B2:E2"/>
    <mergeCell ref="G2:J2"/>
    <mergeCell ref="L2:O2"/>
    <mergeCell ref="B3:E3"/>
    <mergeCell ref="G3:J3"/>
    <mergeCell ref="L3:O3"/>
    <mergeCell ref="B27:D27"/>
    <mergeCell ref="G27:I27"/>
    <mergeCell ref="L27:N27"/>
    <mergeCell ref="B29:D29"/>
    <mergeCell ref="G29:I29"/>
    <mergeCell ref="B30:D30"/>
    <mergeCell ref="L31:N31"/>
    <mergeCell ref="G37:I37"/>
    <mergeCell ref="G39:J39"/>
    <mergeCell ref="L39:O39"/>
    <mergeCell ref="B37:D37"/>
    <mergeCell ref="B79:D79"/>
    <mergeCell ref="B110:D110"/>
    <mergeCell ref="B132:D132"/>
    <mergeCell ref="B147:D147"/>
    <mergeCell ref="B160:D160"/>
    <mergeCell ref="B174:D174"/>
    <mergeCell ref="B31:D31"/>
    <mergeCell ref="B32:D32"/>
    <mergeCell ref="B33:D33"/>
    <mergeCell ref="B34:D34"/>
    <mergeCell ref="B35:D35"/>
    <mergeCell ref="B36:D36"/>
    <mergeCell ref="B39:E39"/>
    <mergeCell ref="L37:N37"/>
    <mergeCell ref="L79:N79"/>
    <mergeCell ref="L110:N110"/>
    <mergeCell ref="L132:N132"/>
    <mergeCell ref="L147:N147"/>
    <mergeCell ref="L160:N160"/>
    <mergeCell ref="L174:N174"/>
    <mergeCell ref="G79:I79"/>
    <mergeCell ref="G110:I110"/>
    <mergeCell ref="G132:I132"/>
    <mergeCell ref="G147:I147"/>
    <mergeCell ref="G160:I160"/>
    <mergeCell ref="G174:I17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57"/>
    <col customWidth="1" min="2" max="2" width="49.71"/>
    <col customWidth="1" min="3" max="3" width="20.43"/>
    <col customWidth="1" min="4" max="4" width="8.43"/>
    <col customWidth="1" min="5" max="5" width="20.43"/>
    <col customWidth="1" min="6" max="6" width="3.71"/>
    <col customWidth="1" min="7" max="7" width="51.57"/>
    <col customWidth="1" min="8" max="8" width="20.29"/>
    <col customWidth="1" min="9" max="9" width="8.43"/>
    <col customWidth="1" min="10" max="10" width="20.43"/>
    <col customWidth="1" min="11" max="11" width="3.71"/>
    <col customWidth="1" min="12" max="12" width="51.43"/>
    <col customWidth="1" min="13" max="13" width="21.0"/>
    <col customWidth="1" min="14" max="14" width="8.43"/>
    <col customWidth="1" min="15" max="15" width="20.43"/>
    <col customWidth="1" min="16" max="16" width="3.71"/>
  </cols>
  <sheetData>
    <row r="1" ht="34.5" customHeight="1">
      <c r="A1" s="1"/>
      <c r="B1" s="2" t="str">
        <f>CONCATENATE('🏦COVER🏦'!D7," 💰Budget Plan💰")</f>
        <v>#REF!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</row>
    <row r="2" ht="28.5" customHeight="1">
      <c r="A2" s="4"/>
      <c r="B2" s="5" t="s">
        <v>0</v>
      </c>
      <c r="C2" s="6"/>
      <c r="D2" s="6"/>
      <c r="E2" s="7"/>
      <c r="F2" s="8"/>
      <c r="G2" s="9" t="s">
        <v>1</v>
      </c>
      <c r="H2" s="10"/>
      <c r="I2" s="10"/>
      <c r="J2" s="11"/>
      <c r="K2" s="8"/>
      <c r="L2" s="9" t="s">
        <v>2</v>
      </c>
      <c r="M2" s="10"/>
      <c r="N2" s="10"/>
      <c r="O2" s="11"/>
      <c r="P2" s="12"/>
    </row>
    <row r="3" ht="24.0" customHeight="1">
      <c r="A3" s="4"/>
      <c r="B3" s="13" t="s">
        <v>3</v>
      </c>
      <c r="C3" s="14"/>
      <c r="D3" s="14"/>
      <c r="E3" s="15"/>
      <c r="F3" s="16"/>
      <c r="G3" s="17" t="s">
        <v>3</v>
      </c>
      <c r="H3" s="18"/>
      <c r="I3" s="18"/>
      <c r="J3" s="19"/>
      <c r="K3" s="16"/>
      <c r="L3" s="17" t="s">
        <v>3</v>
      </c>
      <c r="M3" s="18"/>
      <c r="N3" s="18"/>
      <c r="O3" s="19"/>
      <c r="P3" s="16"/>
    </row>
    <row r="4" ht="24.0" customHeight="1">
      <c r="A4" s="4"/>
      <c r="B4" s="20" t="s">
        <v>4</v>
      </c>
      <c r="C4" s="21" t="s">
        <v>5</v>
      </c>
      <c r="D4" s="22" t="s">
        <v>6</v>
      </c>
      <c r="E4" s="23" t="s">
        <v>7</v>
      </c>
      <c r="F4" s="16"/>
      <c r="G4" s="22" t="s">
        <v>4</v>
      </c>
      <c r="H4" s="21" t="s">
        <v>5</v>
      </c>
      <c r="I4" s="22" t="s">
        <v>6</v>
      </c>
      <c r="J4" s="23" t="s">
        <v>7</v>
      </c>
      <c r="K4" s="16"/>
      <c r="L4" s="22" t="s">
        <v>4</v>
      </c>
      <c r="M4" s="21" t="s">
        <v>5</v>
      </c>
      <c r="N4" s="22" t="s">
        <v>6</v>
      </c>
      <c r="O4" s="23" t="s">
        <v>7</v>
      </c>
      <c r="P4" s="24"/>
    </row>
    <row r="5" ht="21.75" customHeight="1">
      <c r="A5" s="4"/>
      <c r="B5" s="25" t="s">
        <v>8</v>
      </c>
      <c r="C5" s="26">
        <v>1100000.0</v>
      </c>
      <c r="D5" s="27">
        <v>320.0</v>
      </c>
      <c r="E5" s="28">
        <f t="shared" ref="E5:E26" si="1">C5*D5</f>
        <v>352000000</v>
      </c>
      <c r="F5" s="16"/>
      <c r="G5" s="25" t="s">
        <v>8</v>
      </c>
      <c r="H5" s="26">
        <v>1100000.0</v>
      </c>
      <c r="I5" s="27">
        <v>320.0</v>
      </c>
      <c r="J5" s="28">
        <f t="shared" ref="J5:J26" si="2">H5*I5</f>
        <v>352000000</v>
      </c>
      <c r="K5" s="16"/>
      <c r="L5" s="29" t="s">
        <v>8</v>
      </c>
      <c r="M5" s="26">
        <v>1100000.0</v>
      </c>
      <c r="N5" s="27">
        <v>320.0</v>
      </c>
      <c r="O5" s="28">
        <f t="shared" ref="O5:O26" si="3">M5*N5</f>
        <v>352000000</v>
      </c>
      <c r="P5" s="30"/>
    </row>
    <row r="6" ht="17.25" customHeight="1">
      <c r="A6" s="4"/>
      <c r="B6" s="29" t="s">
        <v>140</v>
      </c>
      <c r="C6" s="31">
        <v>1500000.0</v>
      </c>
      <c r="D6" s="32">
        <v>3.0</v>
      </c>
      <c r="E6" s="33">
        <f t="shared" si="1"/>
        <v>4500000</v>
      </c>
      <c r="F6" s="16"/>
      <c r="G6" s="29" t="s">
        <v>140</v>
      </c>
      <c r="H6" s="31">
        <v>1500000.0</v>
      </c>
      <c r="I6" s="32">
        <v>5.0</v>
      </c>
      <c r="J6" s="33">
        <f t="shared" si="2"/>
        <v>7500000</v>
      </c>
      <c r="K6" s="24"/>
      <c r="L6" s="29" t="s">
        <v>140</v>
      </c>
      <c r="M6" s="31">
        <v>1500000.0</v>
      </c>
      <c r="N6" s="32">
        <v>10.0</v>
      </c>
      <c r="O6" s="33">
        <f t="shared" si="3"/>
        <v>15000000</v>
      </c>
      <c r="P6" s="30"/>
    </row>
    <row r="7" ht="17.25" customHeight="1">
      <c r="A7" s="4"/>
      <c r="B7" s="29" t="s">
        <v>9</v>
      </c>
      <c r="C7" s="31">
        <v>50000.0</v>
      </c>
      <c r="D7" s="32">
        <v>323.0</v>
      </c>
      <c r="E7" s="33">
        <f t="shared" si="1"/>
        <v>16150000</v>
      </c>
      <c r="F7" s="16"/>
      <c r="G7" s="29" t="s">
        <v>9</v>
      </c>
      <c r="H7" s="31">
        <v>50000.0</v>
      </c>
      <c r="I7" s="32">
        <v>325.0</v>
      </c>
      <c r="J7" s="33">
        <f t="shared" si="2"/>
        <v>16250000</v>
      </c>
      <c r="K7" s="24"/>
      <c r="L7" s="34" t="s">
        <v>9</v>
      </c>
      <c r="M7" s="31">
        <v>50000.0</v>
      </c>
      <c r="N7" s="32">
        <v>330.0</v>
      </c>
      <c r="O7" s="33">
        <f t="shared" si="3"/>
        <v>16500000</v>
      </c>
      <c r="P7" s="30"/>
    </row>
    <row r="8" ht="18.0" customHeight="1">
      <c r="A8" s="4"/>
      <c r="B8" s="34" t="s">
        <v>10</v>
      </c>
      <c r="C8" s="31">
        <v>4.0E7</v>
      </c>
      <c r="D8" s="32">
        <v>1.0</v>
      </c>
      <c r="E8" s="35">
        <f t="shared" si="1"/>
        <v>40000000</v>
      </c>
      <c r="F8" s="16"/>
      <c r="G8" s="34" t="s">
        <v>10</v>
      </c>
      <c r="H8" s="31">
        <v>4.0E7</v>
      </c>
      <c r="I8" s="32">
        <v>1.0</v>
      </c>
      <c r="J8" s="35">
        <f t="shared" si="2"/>
        <v>40000000</v>
      </c>
      <c r="K8" s="30"/>
      <c r="L8" s="34" t="s">
        <v>10</v>
      </c>
      <c r="M8" s="31">
        <v>4.0E7</v>
      </c>
      <c r="N8" s="32">
        <v>1.0</v>
      </c>
      <c r="O8" s="33">
        <f t="shared" si="3"/>
        <v>40000000</v>
      </c>
      <c r="P8" s="30"/>
    </row>
    <row r="9" ht="17.25" customHeight="1">
      <c r="A9" s="36"/>
      <c r="B9" s="29" t="s">
        <v>11</v>
      </c>
      <c r="C9" s="31">
        <v>5000000.0</v>
      </c>
      <c r="D9" s="32">
        <v>1.0</v>
      </c>
      <c r="E9" s="37">
        <f t="shared" si="1"/>
        <v>5000000</v>
      </c>
      <c r="F9" s="24"/>
      <c r="G9" s="29" t="s">
        <v>11</v>
      </c>
      <c r="H9" s="31">
        <v>5000000.0</v>
      </c>
      <c r="I9" s="32">
        <v>1.0</v>
      </c>
      <c r="J9" s="37">
        <f t="shared" si="2"/>
        <v>5000000</v>
      </c>
      <c r="K9" s="30"/>
      <c r="L9" s="34" t="s">
        <v>11</v>
      </c>
      <c r="M9" s="31">
        <v>5000000.0</v>
      </c>
      <c r="N9" s="32">
        <v>1.0</v>
      </c>
      <c r="O9" s="33">
        <f t="shared" si="3"/>
        <v>5000000</v>
      </c>
      <c r="P9" s="30"/>
    </row>
    <row r="10" ht="15.75" customHeight="1">
      <c r="A10" s="30"/>
      <c r="B10" s="38" t="s">
        <v>12</v>
      </c>
      <c r="C10" s="31">
        <v>65000.0</v>
      </c>
      <c r="D10" s="32">
        <v>5.0</v>
      </c>
      <c r="E10" s="37">
        <f t="shared" si="1"/>
        <v>325000</v>
      </c>
      <c r="F10" s="30"/>
      <c r="G10" s="38" t="s">
        <v>12</v>
      </c>
      <c r="H10" s="31">
        <v>65000.0</v>
      </c>
      <c r="I10" s="32">
        <v>10.0</v>
      </c>
      <c r="J10" s="37">
        <f t="shared" si="2"/>
        <v>650000</v>
      </c>
      <c r="K10" s="30"/>
      <c r="L10" s="39" t="s">
        <v>12</v>
      </c>
      <c r="M10" s="31">
        <v>65000.0</v>
      </c>
      <c r="N10" s="32">
        <v>15.0</v>
      </c>
      <c r="O10" s="33">
        <f t="shared" si="3"/>
        <v>975000</v>
      </c>
      <c r="P10" s="30"/>
    </row>
    <row r="11" ht="16.5" customHeight="1">
      <c r="A11" s="30"/>
      <c r="B11" s="39" t="s">
        <v>13</v>
      </c>
      <c r="C11" s="31">
        <v>165000.0</v>
      </c>
      <c r="D11" s="32">
        <v>5.0</v>
      </c>
      <c r="E11" s="37">
        <f t="shared" si="1"/>
        <v>825000</v>
      </c>
      <c r="F11" s="30"/>
      <c r="G11" s="39" t="s">
        <v>13</v>
      </c>
      <c r="H11" s="31">
        <v>165000.0</v>
      </c>
      <c r="I11" s="32">
        <v>10.0</v>
      </c>
      <c r="J11" s="37">
        <f t="shared" si="2"/>
        <v>1650000</v>
      </c>
      <c r="K11" s="30"/>
      <c r="L11" s="39" t="s">
        <v>13</v>
      </c>
      <c r="M11" s="31">
        <v>165000.0</v>
      </c>
      <c r="N11" s="32">
        <v>15.0</v>
      </c>
      <c r="O11" s="33">
        <f t="shared" si="3"/>
        <v>2475000</v>
      </c>
      <c r="P11" s="30"/>
    </row>
    <row r="12" ht="16.5" customHeight="1">
      <c r="A12" s="30"/>
      <c r="B12" s="39" t="s">
        <v>14</v>
      </c>
      <c r="C12" s="31">
        <v>120000.0</v>
      </c>
      <c r="D12" s="32">
        <v>5.0</v>
      </c>
      <c r="E12" s="37">
        <f t="shared" si="1"/>
        <v>600000</v>
      </c>
      <c r="F12" s="30"/>
      <c r="G12" s="39" t="s">
        <v>14</v>
      </c>
      <c r="H12" s="31">
        <v>120000.0</v>
      </c>
      <c r="I12" s="32">
        <v>10.0</v>
      </c>
      <c r="J12" s="37">
        <f t="shared" si="2"/>
        <v>1200000</v>
      </c>
      <c r="K12" s="30"/>
      <c r="L12" s="39" t="s">
        <v>14</v>
      </c>
      <c r="M12" s="31">
        <v>120000.0</v>
      </c>
      <c r="N12" s="32">
        <v>15.0</v>
      </c>
      <c r="O12" s="33">
        <f t="shared" si="3"/>
        <v>1800000</v>
      </c>
      <c r="P12" s="30"/>
    </row>
    <row r="13" ht="16.5" customHeight="1">
      <c r="A13" s="30"/>
      <c r="B13" s="39" t="s">
        <v>15</v>
      </c>
      <c r="C13" s="31">
        <v>12000.0</v>
      </c>
      <c r="D13" s="32">
        <v>20.0</v>
      </c>
      <c r="E13" s="37">
        <f t="shared" si="1"/>
        <v>240000</v>
      </c>
      <c r="F13" s="30"/>
      <c r="G13" s="39" t="s">
        <v>15</v>
      </c>
      <c r="H13" s="31">
        <v>12000.0</v>
      </c>
      <c r="I13" s="32">
        <v>25.0</v>
      </c>
      <c r="J13" s="37">
        <f t="shared" si="2"/>
        <v>300000</v>
      </c>
      <c r="K13" s="30"/>
      <c r="L13" s="39" t="s">
        <v>15</v>
      </c>
      <c r="M13" s="31">
        <v>12000.0</v>
      </c>
      <c r="N13" s="32">
        <v>35.0</v>
      </c>
      <c r="O13" s="33">
        <f t="shared" si="3"/>
        <v>420000</v>
      </c>
      <c r="P13" s="30"/>
    </row>
    <row r="14" ht="18.0" customHeight="1">
      <c r="A14" s="30"/>
      <c r="B14" s="39" t="s">
        <v>16</v>
      </c>
      <c r="C14" s="31">
        <v>20000.0</v>
      </c>
      <c r="D14" s="32">
        <v>15.0</v>
      </c>
      <c r="E14" s="37">
        <f t="shared" si="1"/>
        <v>300000</v>
      </c>
      <c r="F14" s="30"/>
      <c r="G14" s="39" t="s">
        <v>16</v>
      </c>
      <c r="H14" s="31">
        <v>20000.0</v>
      </c>
      <c r="I14" s="32">
        <v>25.0</v>
      </c>
      <c r="J14" s="37">
        <f t="shared" si="2"/>
        <v>500000</v>
      </c>
      <c r="K14" s="30"/>
      <c r="L14" s="39" t="s">
        <v>16</v>
      </c>
      <c r="M14" s="31">
        <v>20000.0</v>
      </c>
      <c r="N14" s="32">
        <v>35.0</v>
      </c>
      <c r="O14" s="33">
        <f t="shared" si="3"/>
        <v>700000</v>
      </c>
      <c r="P14" s="30"/>
    </row>
    <row r="15" ht="18.0" customHeight="1">
      <c r="A15" s="30"/>
      <c r="B15" s="39" t="s">
        <v>17</v>
      </c>
      <c r="C15" s="31">
        <v>15000.0</v>
      </c>
      <c r="D15" s="32">
        <v>5.0</v>
      </c>
      <c r="E15" s="37">
        <f t="shared" si="1"/>
        <v>75000</v>
      </c>
      <c r="F15" s="30"/>
      <c r="G15" s="39" t="s">
        <v>17</v>
      </c>
      <c r="H15" s="31">
        <v>15000.0</v>
      </c>
      <c r="I15" s="32">
        <v>10.0</v>
      </c>
      <c r="J15" s="37">
        <f t="shared" si="2"/>
        <v>150000</v>
      </c>
      <c r="K15" s="30"/>
      <c r="L15" s="39" t="s">
        <v>17</v>
      </c>
      <c r="M15" s="31">
        <v>15000.0</v>
      </c>
      <c r="N15" s="32">
        <v>15.0</v>
      </c>
      <c r="O15" s="37">
        <f t="shared" si="3"/>
        <v>225000</v>
      </c>
      <c r="P15" s="30"/>
    </row>
    <row r="16" ht="17.25" customHeight="1">
      <c r="A16" s="30"/>
      <c r="B16" s="39" t="s">
        <v>18</v>
      </c>
      <c r="C16" s="31">
        <v>15000.0</v>
      </c>
      <c r="D16" s="32">
        <v>15.0</v>
      </c>
      <c r="E16" s="37">
        <f t="shared" si="1"/>
        <v>225000</v>
      </c>
      <c r="F16" s="30"/>
      <c r="G16" s="39" t="s">
        <v>18</v>
      </c>
      <c r="H16" s="31">
        <v>15000.0</v>
      </c>
      <c r="I16" s="32">
        <v>25.0</v>
      </c>
      <c r="J16" s="37">
        <f t="shared" si="2"/>
        <v>375000</v>
      </c>
      <c r="K16" s="30"/>
      <c r="L16" s="39" t="s">
        <v>18</v>
      </c>
      <c r="M16" s="31">
        <v>15000.0</v>
      </c>
      <c r="N16" s="32">
        <v>35.0</v>
      </c>
      <c r="O16" s="33">
        <f t="shared" si="3"/>
        <v>525000</v>
      </c>
      <c r="P16" s="30"/>
    </row>
    <row r="17" ht="17.25" customHeight="1">
      <c r="A17" s="30"/>
      <c r="B17" s="40" t="s">
        <v>19</v>
      </c>
      <c r="C17" s="41">
        <v>250000.0</v>
      </c>
      <c r="D17" s="32">
        <v>10.0</v>
      </c>
      <c r="E17" s="37">
        <f t="shared" si="1"/>
        <v>2500000</v>
      </c>
      <c r="F17" s="30"/>
      <c r="G17" s="40" t="s">
        <v>19</v>
      </c>
      <c r="H17" s="41">
        <v>250000.0</v>
      </c>
      <c r="I17" s="32">
        <v>15.0</v>
      </c>
      <c r="J17" s="37">
        <f t="shared" si="2"/>
        <v>3750000</v>
      </c>
      <c r="K17" s="30"/>
      <c r="L17" s="40" t="s">
        <v>19</v>
      </c>
      <c r="M17" s="41">
        <v>250000.0</v>
      </c>
      <c r="N17" s="32">
        <v>20.0</v>
      </c>
      <c r="O17" s="33">
        <f t="shared" si="3"/>
        <v>5000000</v>
      </c>
      <c r="P17" s="30"/>
    </row>
    <row r="18" ht="18.0" customHeight="1">
      <c r="A18" s="30"/>
      <c r="B18" s="40" t="s">
        <v>20</v>
      </c>
      <c r="C18" s="41">
        <v>35000.0</v>
      </c>
      <c r="D18" s="32">
        <v>45.0</v>
      </c>
      <c r="E18" s="37">
        <f t="shared" si="1"/>
        <v>1575000</v>
      </c>
      <c r="F18" s="30"/>
      <c r="G18" s="40" t="s">
        <v>20</v>
      </c>
      <c r="H18" s="41">
        <v>35000.0</v>
      </c>
      <c r="I18" s="32">
        <v>50.0</v>
      </c>
      <c r="J18" s="37">
        <f t="shared" si="2"/>
        <v>1750000</v>
      </c>
      <c r="K18" s="30"/>
      <c r="L18" s="40" t="s">
        <v>20</v>
      </c>
      <c r="M18" s="41">
        <v>35000.0</v>
      </c>
      <c r="N18" s="32">
        <v>55.0</v>
      </c>
      <c r="O18" s="33">
        <f t="shared" si="3"/>
        <v>1925000</v>
      </c>
      <c r="P18" s="30"/>
    </row>
    <row r="19" ht="17.25" customHeight="1">
      <c r="A19" s="30"/>
      <c r="B19" s="40" t="s">
        <v>21</v>
      </c>
      <c r="C19" s="41">
        <v>20000.0</v>
      </c>
      <c r="D19" s="32">
        <v>40.0</v>
      </c>
      <c r="E19" s="37">
        <f t="shared" si="1"/>
        <v>800000</v>
      </c>
      <c r="F19" s="30"/>
      <c r="G19" s="40" t="s">
        <v>21</v>
      </c>
      <c r="H19" s="41">
        <v>20000.0</v>
      </c>
      <c r="I19" s="32">
        <v>45.0</v>
      </c>
      <c r="J19" s="37">
        <f t="shared" si="2"/>
        <v>900000</v>
      </c>
      <c r="K19" s="30"/>
      <c r="L19" s="40" t="s">
        <v>21</v>
      </c>
      <c r="M19" s="41">
        <v>20000.0</v>
      </c>
      <c r="N19" s="32">
        <v>50.0</v>
      </c>
      <c r="O19" s="33">
        <f t="shared" si="3"/>
        <v>1000000</v>
      </c>
      <c r="P19" s="30"/>
    </row>
    <row r="20" ht="15.0" customHeight="1">
      <c r="A20" s="30"/>
      <c r="B20" s="40" t="s">
        <v>22</v>
      </c>
      <c r="C20" s="41">
        <v>25000.0</v>
      </c>
      <c r="D20" s="32">
        <v>40.0</v>
      </c>
      <c r="E20" s="37">
        <f t="shared" si="1"/>
        <v>1000000</v>
      </c>
      <c r="F20" s="30"/>
      <c r="G20" s="40" t="s">
        <v>22</v>
      </c>
      <c r="H20" s="41">
        <v>25000.0</v>
      </c>
      <c r="I20" s="32">
        <v>45.0</v>
      </c>
      <c r="J20" s="37">
        <f t="shared" si="2"/>
        <v>1125000</v>
      </c>
      <c r="K20" s="30"/>
      <c r="L20" s="40" t="s">
        <v>22</v>
      </c>
      <c r="M20" s="41">
        <v>25000.0</v>
      </c>
      <c r="N20" s="32">
        <v>50.0</v>
      </c>
      <c r="O20" s="33">
        <f t="shared" si="3"/>
        <v>1250000</v>
      </c>
      <c r="P20" s="30"/>
    </row>
    <row r="21" ht="18.75" customHeight="1">
      <c r="A21" s="30"/>
      <c r="B21" s="39" t="s">
        <v>141</v>
      </c>
      <c r="C21" s="31">
        <v>1.0E7</v>
      </c>
      <c r="D21" s="32">
        <v>1.0</v>
      </c>
      <c r="E21" s="37">
        <f t="shared" si="1"/>
        <v>10000000</v>
      </c>
      <c r="F21" s="30"/>
      <c r="G21" s="39" t="s">
        <v>141</v>
      </c>
      <c r="H21" s="31">
        <v>2.0E7</v>
      </c>
      <c r="I21" s="32">
        <v>1.0</v>
      </c>
      <c r="J21" s="37">
        <f t="shared" si="2"/>
        <v>20000000</v>
      </c>
      <c r="K21" s="30"/>
      <c r="L21" s="39" t="s">
        <v>141</v>
      </c>
      <c r="M21" s="31">
        <v>2.5E7</v>
      </c>
      <c r="N21" s="32">
        <v>1.0</v>
      </c>
      <c r="O21" s="33">
        <f t="shared" si="3"/>
        <v>25000000</v>
      </c>
      <c r="P21" s="30"/>
    </row>
    <row r="22" ht="18.0" customHeight="1">
      <c r="A22" s="30"/>
      <c r="B22" s="39" t="s">
        <v>23</v>
      </c>
      <c r="C22" s="31">
        <v>400000.0</v>
      </c>
      <c r="D22" s="32">
        <v>1.0</v>
      </c>
      <c r="E22" s="37">
        <f t="shared" si="1"/>
        <v>400000</v>
      </c>
      <c r="F22" s="30"/>
      <c r="G22" s="39" t="s">
        <v>23</v>
      </c>
      <c r="H22" s="31">
        <v>400000.0</v>
      </c>
      <c r="I22" s="32">
        <v>1.0</v>
      </c>
      <c r="J22" s="37">
        <f t="shared" si="2"/>
        <v>400000</v>
      </c>
      <c r="K22" s="30"/>
      <c r="L22" s="39" t="s">
        <v>23</v>
      </c>
      <c r="M22" s="31">
        <v>400000.0</v>
      </c>
      <c r="N22" s="32">
        <v>1.0</v>
      </c>
      <c r="O22" s="33">
        <f t="shared" si="3"/>
        <v>400000</v>
      </c>
      <c r="P22" s="30"/>
    </row>
    <row r="23" ht="16.5" customHeight="1">
      <c r="A23" s="30"/>
      <c r="B23" s="39" t="s">
        <v>24</v>
      </c>
      <c r="C23" s="31">
        <v>10000.0</v>
      </c>
      <c r="D23" s="32">
        <v>15.0</v>
      </c>
      <c r="E23" s="37">
        <f t="shared" si="1"/>
        <v>150000</v>
      </c>
      <c r="F23" s="30"/>
      <c r="G23" s="39" t="s">
        <v>24</v>
      </c>
      <c r="H23" s="31">
        <v>10000.0</v>
      </c>
      <c r="I23" s="32">
        <v>20.0</v>
      </c>
      <c r="J23" s="37">
        <f t="shared" si="2"/>
        <v>200000</v>
      </c>
      <c r="K23" s="30"/>
      <c r="L23" s="39" t="s">
        <v>24</v>
      </c>
      <c r="M23" s="31">
        <v>10000.0</v>
      </c>
      <c r="N23" s="32">
        <v>25.0</v>
      </c>
      <c r="O23" s="33">
        <f t="shared" si="3"/>
        <v>250000</v>
      </c>
      <c r="P23" s="30"/>
    </row>
    <row r="24" ht="15.75" customHeight="1">
      <c r="A24" s="30"/>
      <c r="B24" s="39" t="s">
        <v>25</v>
      </c>
      <c r="C24" s="31">
        <v>2213000.0</v>
      </c>
      <c r="D24" s="32">
        <v>1.0</v>
      </c>
      <c r="E24" s="37">
        <f t="shared" si="1"/>
        <v>2213000</v>
      </c>
      <c r="F24" s="30"/>
      <c r="G24" s="39" t="s">
        <v>25</v>
      </c>
      <c r="H24" s="31">
        <v>3021500.0</v>
      </c>
      <c r="I24" s="32">
        <v>1.0</v>
      </c>
      <c r="J24" s="37">
        <f t="shared" si="2"/>
        <v>3021500</v>
      </c>
      <c r="K24" s="30"/>
      <c r="L24" s="39" t="s">
        <v>25</v>
      </c>
      <c r="M24" s="31">
        <v>3796000.0</v>
      </c>
      <c r="N24" s="32">
        <v>1.0</v>
      </c>
      <c r="O24" s="33">
        <f t="shared" si="3"/>
        <v>3796000</v>
      </c>
      <c r="P24" s="30"/>
    </row>
    <row r="25" ht="16.5" customHeight="1">
      <c r="A25" s="30"/>
      <c r="B25" s="39" t="s">
        <v>26</v>
      </c>
      <c r="C25" s="31">
        <v>200000.0</v>
      </c>
      <c r="D25" s="32">
        <v>27.0</v>
      </c>
      <c r="E25" s="37">
        <f t="shared" si="1"/>
        <v>5400000</v>
      </c>
      <c r="F25" s="30"/>
      <c r="G25" s="39" t="s">
        <v>26</v>
      </c>
      <c r="H25" s="31">
        <v>200000.0</v>
      </c>
      <c r="I25" s="32">
        <v>27.0</v>
      </c>
      <c r="J25" s="37">
        <f t="shared" si="2"/>
        <v>5400000</v>
      </c>
      <c r="K25" s="30"/>
      <c r="L25" s="39" t="s">
        <v>26</v>
      </c>
      <c r="M25" s="31">
        <v>200000.0</v>
      </c>
      <c r="N25" s="32">
        <v>27.0</v>
      </c>
      <c r="O25" s="33">
        <f t="shared" si="3"/>
        <v>5400000</v>
      </c>
      <c r="P25" s="30"/>
    </row>
    <row r="26" ht="15.0" customHeight="1">
      <c r="A26" s="30"/>
      <c r="B26" s="170" t="s">
        <v>34</v>
      </c>
      <c r="C26" s="171">
        <v>80000.0</v>
      </c>
      <c r="D26" s="172">
        <v>39.0</v>
      </c>
      <c r="E26" s="173">
        <f t="shared" si="1"/>
        <v>3120000</v>
      </c>
      <c r="F26" s="30"/>
      <c r="G26" s="170" t="s">
        <v>34</v>
      </c>
      <c r="H26" s="171">
        <v>80000.0</v>
      </c>
      <c r="I26" s="172">
        <v>39.0</v>
      </c>
      <c r="J26" s="173">
        <f t="shared" si="2"/>
        <v>3120000</v>
      </c>
      <c r="K26" s="30"/>
      <c r="L26" s="170" t="s">
        <v>34</v>
      </c>
      <c r="M26" s="171">
        <v>80000.0</v>
      </c>
      <c r="N26" s="172">
        <v>39.0</v>
      </c>
      <c r="O26" s="174">
        <f t="shared" si="3"/>
        <v>3120000</v>
      </c>
      <c r="P26" s="30"/>
    </row>
    <row r="27" ht="24.0" customHeight="1">
      <c r="A27" s="42"/>
      <c r="B27" s="43" t="s">
        <v>27</v>
      </c>
      <c r="C27" s="44"/>
      <c r="D27" s="45"/>
      <c r="E27" s="46">
        <f>SUM(E5:E10)</f>
        <v>417975000</v>
      </c>
      <c r="F27" s="30"/>
      <c r="G27" s="43" t="s">
        <v>27</v>
      </c>
      <c r="H27" s="44"/>
      <c r="I27" s="47"/>
      <c r="J27" s="48">
        <f>SUM(J5:J10)</f>
        <v>421400000</v>
      </c>
      <c r="K27" s="30"/>
      <c r="L27" s="43" t="s">
        <v>27</v>
      </c>
      <c r="M27" s="44"/>
      <c r="N27" s="47"/>
      <c r="O27" s="48">
        <f>SUM(O5:O10)</f>
        <v>429475000</v>
      </c>
      <c r="P27" s="30"/>
    </row>
    <row r="28" ht="12.75" customHeight="1">
      <c r="A28" s="49"/>
      <c r="B28" s="50"/>
      <c r="C28" s="50"/>
      <c r="D28" s="50"/>
      <c r="E28" s="50"/>
      <c r="F28" s="51"/>
      <c r="G28" s="50"/>
      <c r="H28" s="50"/>
      <c r="I28" s="50"/>
      <c r="J28" s="50"/>
      <c r="K28" s="52"/>
      <c r="L28" s="50"/>
      <c r="M28" s="50"/>
      <c r="N28" s="50"/>
      <c r="O28" s="50"/>
      <c r="P28" s="53"/>
    </row>
    <row r="29" ht="27.75" customHeight="1">
      <c r="A29" s="54"/>
      <c r="B29" s="55" t="s">
        <v>28</v>
      </c>
      <c r="C29" s="56"/>
      <c r="D29" s="57"/>
      <c r="E29" s="58" t="s">
        <v>7</v>
      </c>
      <c r="F29" s="59"/>
      <c r="G29" s="55" t="s">
        <v>28</v>
      </c>
      <c r="H29" s="56"/>
      <c r="I29" s="57"/>
      <c r="J29" s="58" t="s">
        <v>7</v>
      </c>
      <c r="K29" s="60"/>
      <c r="L29" s="55" t="s">
        <v>28</v>
      </c>
      <c r="M29" s="56"/>
      <c r="N29" s="57"/>
      <c r="O29" s="58" t="s">
        <v>7</v>
      </c>
      <c r="P29" s="61"/>
    </row>
    <row r="30" ht="15.75" customHeight="1">
      <c r="A30" s="1"/>
      <c r="B30" s="62" t="str">
        <f>$B$40</f>
        <v>#REF!</v>
      </c>
      <c r="C30" s="63"/>
      <c r="D30" s="64"/>
      <c r="E30" s="65">
        <f>E79</f>
        <v>31112608</v>
      </c>
      <c r="F30" s="66"/>
      <c r="G30" s="62" t="str">
        <f t="shared" ref="G30:G35" si="4">B30</f>
        <v>#REF!</v>
      </c>
      <c r="H30" s="63"/>
      <c r="I30" s="64"/>
      <c r="J30" s="67">
        <f>J79</f>
        <v>33496933</v>
      </c>
      <c r="K30" s="4"/>
      <c r="L30" s="62" t="str">
        <f t="shared" ref="L30:L35" si="5">G30</f>
        <v>#REF!</v>
      </c>
      <c r="M30" s="63"/>
      <c r="N30" s="64"/>
      <c r="O30" s="67">
        <f>O79</f>
        <v>34598876</v>
      </c>
      <c r="P30" s="1"/>
    </row>
    <row r="31" ht="15.75" customHeight="1">
      <c r="A31" s="1"/>
      <c r="B31" s="68" t="str">
        <f>B81</f>
        <v>#REF!</v>
      </c>
      <c r="C31" s="69"/>
      <c r="D31" s="70"/>
      <c r="E31" s="71">
        <f>E110</f>
        <v>2060700</v>
      </c>
      <c r="F31" s="72"/>
      <c r="G31" s="62" t="str">
        <f t="shared" si="4"/>
        <v>#REF!</v>
      </c>
      <c r="H31" s="63"/>
      <c r="I31" s="64"/>
      <c r="J31" s="73">
        <f>J110</f>
        <v>1340798</v>
      </c>
      <c r="K31" s="4"/>
      <c r="L31" s="62" t="str">
        <f t="shared" si="5"/>
        <v>#REF!</v>
      </c>
      <c r="M31" s="63"/>
      <c r="N31" s="64"/>
      <c r="O31" s="73">
        <f>O110</f>
        <v>940036</v>
      </c>
      <c r="P31" s="1"/>
    </row>
    <row r="32" ht="15.75" customHeight="1">
      <c r="A32" s="1"/>
      <c r="B32" s="68" t="str">
        <f>B112</f>
        <v>#REF!</v>
      </c>
      <c r="C32" s="69"/>
      <c r="D32" s="70"/>
      <c r="E32" s="74">
        <f>E132</f>
        <v>6267213</v>
      </c>
      <c r="F32" s="72"/>
      <c r="G32" s="62" t="str">
        <f t="shared" si="4"/>
        <v>#REF!</v>
      </c>
      <c r="H32" s="63"/>
      <c r="I32" s="64"/>
      <c r="J32" s="75">
        <f>J132</f>
        <v>4334072</v>
      </c>
      <c r="K32" s="4"/>
      <c r="L32" s="62" t="str">
        <f t="shared" si="5"/>
        <v>#REF!</v>
      </c>
      <c r="M32" s="63"/>
      <c r="N32" s="64"/>
      <c r="O32" s="75">
        <f>O132</f>
        <v>2631707</v>
      </c>
      <c r="P32" s="1"/>
    </row>
    <row r="33" ht="15.75" customHeight="1">
      <c r="A33" s="1"/>
      <c r="B33" s="68" t="str">
        <f>B134</f>
        <v>#REF!</v>
      </c>
      <c r="C33" s="69"/>
      <c r="D33" s="70"/>
      <c r="E33" s="76">
        <f>E147</f>
        <v>1673000</v>
      </c>
      <c r="F33" s="72"/>
      <c r="G33" s="62" t="str">
        <f t="shared" si="4"/>
        <v>#REF!</v>
      </c>
      <c r="H33" s="63"/>
      <c r="I33" s="64"/>
      <c r="J33" s="77">
        <f>J147</f>
        <v>1408000</v>
      </c>
      <c r="K33" s="4"/>
      <c r="L33" s="62" t="str">
        <f t="shared" si="5"/>
        <v>#REF!</v>
      </c>
      <c r="M33" s="63"/>
      <c r="N33" s="64"/>
      <c r="O33" s="77">
        <f>O147</f>
        <v>1111000</v>
      </c>
      <c r="P33" s="1"/>
    </row>
    <row r="34" ht="15.75" customHeight="1">
      <c r="A34" s="1"/>
      <c r="B34" s="68" t="str">
        <f>B149</f>
        <v>#REF!</v>
      </c>
      <c r="C34" s="69"/>
      <c r="D34" s="70"/>
      <c r="E34" s="78">
        <f>E160</f>
        <v>2120000</v>
      </c>
      <c r="F34" s="72"/>
      <c r="G34" s="62" t="str">
        <f t="shared" si="4"/>
        <v>#REF!</v>
      </c>
      <c r="H34" s="63"/>
      <c r="I34" s="64"/>
      <c r="J34" s="79">
        <f>J160</f>
        <v>1652320</v>
      </c>
      <c r="K34" s="4"/>
      <c r="L34" s="62" t="str">
        <f t="shared" si="5"/>
        <v>#REF!</v>
      </c>
      <c r="M34" s="63"/>
      <c r="N34" s="64"/>
      <c r="O34" s="79">
        <f>O160</f>
        <v>1464000</v>
      </c>
      <c r="P34" s="1"/>
    </row>
    <row r="35" ht="15.75" customHeight="1">
      <c r="A35" s="1"/>
      <c r="B35" s="80" t="str">
        <f>B162</f>
        <v>#REF!</v>
      </c>
      <c r="C35" s="81"/>
      <c r="D35" s="82"/>
      <c r="E35" s="83">
        <f>E174</f>
        <v>390905200</v>
      </c>
      <c r="F35" s="72"/>
      <c r="G35" s="62" t="str">
        <f t="shared" si="4"/>
        <v>#REF!</v>
      </c>
      <c r="H35" s="63"/>
      <c r="I35" s="64"/>
      <c r="J35" s="84">
        <f>J174</f>
        <v>381261745</v>
      </c>
      <c r="K35" s="4"/>
      <c r="L35" s="62" t="str">
        <f t="shared" si="5"/>
        <v>#REF!</v>
      </c>
      <c r="M35" s="63"/>
      <c r="N35" s="64"/>
      <c r="O35" s="84">
        <f>O174</f>
        <v>378914100</v>
      </c>
      <c r="P35" s="1"/>
    </row>
    <row r="36" ht="18.75" customHeight="1">
      <c r="A36" s="85"/>
      <c r="B36" s="86" t="s">
        <v>29</v>
      </c>
      <c r="C36" s="87"/>
      <c r="D36" s="88"/>
      <c r="E36" s="89">
        <f>SUM(E30:E35)</f>
        <v>434138721</v>
      </c>
      <c r="F36" s="66"/>
      <c r="G36" s="86" t="s">
        <v>29</v>
      </c>
      <c r="H36" s="87"/>
      <c r="I36" s="88"/>
      <c r="J36" s="89">
        <f>SUM(J30:J35)</f>
        <v>423493868</v>
      </c>
      <c r="K36" s="85"/>
      <c r="L36" s="86" t="s">
        <v>29</v>
      </c>
      <c r="M36" s="87"/>
      <c r="N36" s="88"/>
      <c r="O36" s="89">
        <f>SUM(O30:O35)</f>
        <v>419659719</v>
      </c>
      <c r="P36" s="1"/>
    </row>
    <row r="37" ht="24.0" customHeight="1">
      <c r="A37" s="85"/>
      <c r="B37" s="90" t="s">
        <v>30</v>
      </c>
      <c r="C37" s="91"/>
      <c r="D37" s="92"/>
      <c r="E37" s="93">
        <f>E27-E36</f>
        <v>-16163721</v>
      </c>
      <c r="F37" s="94"/>
      <c r="G37" s="90" t="s">
        <v>30</v>
      </c>
      <c r="H37" s="91"/>
      <c r="I37" s="92"/>
      <c r="J37" s="93">
        <f>J27-J36</f>
        <v>-2093868</v>
      </c>
      <c r="K37" s="95"/>
      <c r="L37" s="90" t="s">
        <v>30</v>
      </c>
      <c r="M37" s="91"/>
      <c r="N37" s="92"/>
      <c r="O37" s="93">
        <f>O27-O36</f>
        <v>9815281</v>
      </c>
      <c r="P37" s="85"/>
    </row>
    <row r="38" ht="18.75" customHeight="1">
      <c r="A38" s="1"/>
      <c r="B38" s="96"/>
      <c r="C38" s="96"/>
      <c r="D38" s="96"/>
      <c r="E38" s="97"/>
      <c r="F38" s="66"/>
      <c r="G38" s="1"/>
      <c r="H38" s="1"/>
      <c r="I38" s="1"/>
      <c r="J38" s="98"/>
      <c r="K38" s="1"/>
      <c r="L38" s="96"/>
      <c r="M38" s="96"/>
      <c r="N38" s="96"/>
      <c r="O38" s="97"/>
      <c r="P38" s="1"/>
    </row>
    <row r="39" ht="27.0" customHeight="1">
      <c r="A39" s="4"/>
      <c r="B39" s="99" t="s">
        <v>31</v>
      </c>
      <c r="C39" s="87"/>
      <c r="D39" s="87"/>
      <c r="E39" s="88"/>
      <c r="F39" s="66"/>
      <c r="G39" s="99" t="s">
        <v>31</v>
      </c>
      <c r="H39" s="87"/>
      <c r="I39" s="87"/>
      <c r="J39" s="88"/>
      <c r="K39" s="4"/>
      <c r="L39" s="99" t="s">
        <v>31</v>
      </c>
      <c r="M39" s="87"/>
      <c r="N39" s="87"/>
      <c r="O39" s="88"/>
      <c r="P39" s="100"/>
    </row>
    <row r="40" ht="23.25" customHeight="1">
      <c r="A40" s="101" t="s">
        <v>32</v>
      </c>
      <c r="B40" s="102" t="str">
        <f>'🏦COVER🏦'!D11</f>
        <v>#REF!</v>
      </c>
      <c r="C40" s="103" t="s">
        <v>5</v>
      </c>
      <c r="D40" s="103" t="s">
        <v>6</v>
      </c>
      <c r="E40" s="104" t="s">
        <v>7</v>
      </c>
      <c r="F40" s="66"/>
      <c r="G40" s="102" t="str">
        <f>B40</f>
        <v>#REF!</v>
      </c>
      <c r="H40" s="103" t="s">
        <v>5</v>
      </c>
      <c r="I40" s="103" t="s">
        <v>6</v>
      </c>
      <c r="J40" s="104" t="s">
        <v>7</v>
      </c>
      <c r="K40" s="1"/>
      <c r="L40" s="102" t="str">
        <f>G40</f>
        <v>#REF!</v>
      </c>
      <c r="M40" s="103" t="s">
        <v>5</v>
      </c>
      <c r="N40" s="103" t="s">
        <v>6</v>
      </c>
      <c r="O40" s="104" t="s">
        <v>7</v>
      </c>
      <c r="P40" s="1"/>
    </row>
    <row r="41" ht="15.75" customHeight="1">
      <c r="A41" s="4"/>
      <c r="B41" s="105" t="s">
        <v>33</v>
      </c>
      <c r="C41" s="106">
        <v>15000.0</v>
      </c>
      <c r="D41" s="107">
        <v>39.0</v>
      </c>
      <c r="E41" s="108">
        <f t="shared" ref="E41:E71" si="6">C41*D41</f>
        <v>585000</v>
      </c>
      <c r="F41" s="66" t="str">
        <f t="shared" ref="F41:F42" si="7">G41</f>
        <v>Lanyard CDT</v>
      </c>
      <c r="G41" s="105" t="s">
        <v>33</v>
      </c>
      <c r="H41" s="106">
        <v>10000.0</v>
      </c>
      <c r="I41" s="107">
        <v>39.0</v>
      </c>
      <c r="J41" s="108">
        <f t="shared" ref="J41:J78" si="8">H41*I41</f>
        <v>390000</v>
      </c>
      <c r="K41" s="4"/>
      <c r="L41" s="105" t="s">
        <v>33</v>
      </c>
      <c r="M41" s="106">
        <v>9000.0</v>
      </c>
      <c r="N41" s="107">
        <v>39.0</v>
      </c>
      <c r="O41" s="109">
        <f t="shared" ref="O41:O71" si="9">M41*N41</f>
        <v>351000</v>
      </c>
      <c r="P41" s="1"/>
    </row>
    <row r="42" ht="15.75" customHeight="1">
      <c r="A42" s="4"/>
      <c r="B42" s="110" t="s">
        <v>34</v>
      </c>
      <c r="C42" s="106">
        <v>80000.0</v>
      </c>
      <c r="D42" s="107">
        <v>39.0</v>
      </c>
      <c r="E42" s="111">
        <f t="shared" si="6"/>
        <v>3120000</v>
      </c>
      <c r="F42" s="66" t="str">
        <f t="shared" si="7"/>
        <v>Baju CDT</v>
      </c>
      <c r="G42" s="110" t="s">
        <v>34</v>
      </c>
      <c r="H42" s="106">
        <v>80000.0</v>
      </c>
      <c r="I42" s="107">
        <v>39.0</v>
      </c>
      <c r="J42" s="109">
        <f t="shared" si="8"/>
        <v>3120000</v>
      </c>
      <c r="K42" s="4"/>
      <c r="L42" s="110" t="s">
        <v>34</v>
      </c>
      <c r="M42" s="106">
        <v>80000.0</v>
      </c>
      <c r="N42" s="107">
        <v>39.0</v>
      </c>
      <c r="O42" s="109">
        <f t="shared" si="9"/>
        <v>3120000</v>
      </c>
      <c r="P42" s="1"/>
    </row>
    <row r="43" ht="15.75" customHeight="1">
      <c r="A43" s="4"/>
      <c r="B43" s="110" t="s">
        <v>35</v>
      </c>
      <c r="C43" s="106">
        <v>70000.0</v>
      </c>
      <c r="D43" s="107">
        <v>45.0</v>
      </c>
      <c r="E43" s="111">
        <f t="shared" si="6"/>
        <v>3150000</v>
      </c>
      <c r="F43" s="66"/>
      <c r="G43" s="110" t="s">
        <v>35</v>
      </c>
      <c r="H43" s="106">
        <v>70000.0</v>
      </c>
      <c r="I43" s="107">
        <v>45.0</v>
      </c>
      <c r="J43" s="109">
        <f t="shared" si="8"/>
        <v>3150000</v>
      </c>
      <c r="K43" s="4"/>
      <c r="L43" s="110" t="s">
        <v>35</v>
      </c>
      <c r="M43" s="106">
        <v>70000.0</v>
      </c>
      <c r="N43" s="107">
        <v>45.0</v>
      </c>
      <c r="O43" s="109">
        <f t="shared" si="9"/>
        <v>3150000</v>
      </c>
      <c r="P43" s="1"/>
    </row>
    <row r="44" ht="15.75" customHeight="1">
      <c r="A44" s="4"/>
      <c r="B44" s="110" t="s">
        <v>12</v>
      </c>
      <c r="C44" s="106">
        <v>45000.0</v>
      </c>
      <c r="D44" s="107">
        <v>15.0</v>
      </c>
      <c r="E44" s="109">
        <f t="shared" si="6"/>
        <v>675000</v>
      </c>
      <c r="F44" s="66" t="str">
        <f t="shared" ref="F44:F45" si="10">G44</f>
        <v>[Merchandise] Baseball Cap</v>
      </c>
      <c r="G44" s="110" t="s">
        <v>12</v>
      </c>
      <c r="H44" s="106">
        <v>40000.0</v>
      </c>
      <c r="I44" s="107">
        <v>25.0</v>
      </c>
      <c r="J44" s="109">
        <f t="shared" si="8"/>
        <v>1000000</v>
      </c>
      <c r="K44" s="4"/>
      <c r="L44" s="110" t="s">
        <v>12</v>
      </c>
      <c r="M44" s="106">
        <v>35000.0</v>
      </c>
      <c r="N44" s="107">
        <v>35.0</v>
      </c>
      <c r="O44" s="109">
        <f t="shared" si="9"/>
        <v>1225000</v>
      </c>
      <c r="P44" s="1"/>
    </row>
    <row r="45" ht="15.75" customHeight="1">
      <c r="A45" s="4"/>
      <c r="B45" s="110" t="s">
        <v>13</v>
      </c>
      <c r="C45" s="106">
        <v>135000.0</v>
      </c>
      <c r="D45" s="107">
        <v>5.0</v>
      </c>
      <c r="E45" s="109">
        <f t="shared" si="6"/>
        <v>675000</v>
      </c>
      <c r="F45" s="66" t="str">
        <f t="shared" si="10"/>
        <v>[Merchandise] Baseball Shirt</v>
      </c>
      <c r="G45" s="110" t="s">
        <v>13</v>
      </c>
      <c r="H45" s="106">
        <v>120000.0</v>
      </c>
      <c r="I45" s="107">
        <v>25.0</v>
      </c>
      <c r="J45" s="109">
        <f t="shared" si="8"/>
        <v>3000000</v>
      </c>
      <c r="K45" s="4"/>
      <c r="L45" s="110" t="s">
        <v>13</v>
      </c>
      <c r="M45" s="106">
        <v>100000.0</v>
      </c>
      <c r="N45" s="107">
        <v>35.0</v>
      </c>
      <c r="O45" s="109">
        <f t="shared" si="9"/>
        <v>3500000</v>
      </c>
      <c r="P45" s="1"/>
    </row>
    <row r="46" ht="15.75" customHeight="1">
      <c r="A46" s="4"/>
      <c r="B46" s="110" t="s">
        <v>14</v>
      </c>
      <c r="C46" s="106">
        <v>85000.0</v>
      </c>
      <c r="D46" s="107">
        <v>5.0</v>
      </c>
      <c r="E46" s="109">
        <f t="shared" si="6"/>
        <v>425000</v>
      </c>
      <c r="F46" s="66"/>
      <c r="G46" s="110" t="s">
        <v>14</v>
      </c>
      <c r="H46" s="106">
        <v>80000.0</v>
      </c>
      <c r="I46" s="107">
        <v>10.0</v>
      </c>
      <c r="J46" s="109">
        <f t="shared" si="8"/>
        <v>800000</v>
      </c>
      <c r="K46" s="4"/>
      <c r="L46" s="110" t="s">
        <v>14</v>
      </c>
      <c r="M46" s="106">
        <v>70000.0</v>
      </c>
      <c r="N46" s="107">
        <v>15.0</v>
      </c>
      <c r="O46" s="109">
        <f t="shared" si="9"/>
        <v>1050000</v>
      </c>
      <c r="P46" s="1"/>
    </row>
    <row r="47" ht="15.75" customHeight="1">
      <c r="A47" s="4"/>
      <c r="B47" s="110" t="s">
        <v>18</v>
      </c>
      <c r="C47" s="106">
        <v>6000.0</v>
      </c>
      <c r="D47" s="107">
        <v>110.0</v>
      </c>
      <c r="E47" s="109">
        <f t="shared" si="6"/>
        <v>660000</v>
      </c>
      <c r="F47" s="66"/>
      <c r="G47" s="110" t="s">
        <v>18</v>
      </c>
      <c r="H47" s="106">
        <v>6000.0</v>
      </c>
      <c r="I47" s="107">
        <v>135.0</v>
      </c>
      <c r="J47" s="109">
        <f t="shared" si="8"/>
        <v>810000</v>
      </c>
      <c r="K47" s="4"/>
      <c r="L47" s="110" t="s">
        <v>18</v>
      </c>
      <c r="M47" s="106">
        <v>6000.0</v>
      </c>
      <c r="N47" s="107">
        <v>160.0</v>
      </c>
      <c r="O47" s="109">
        <f t="shared" si="9"/>
        <v>960000</v>
      </c>
      <c r="P47" s="1"/>
    </row>
    <row r="48" ht="15.75" customHeight="1">
      <c r="A48" s="4"/>
      <c r="B48" s="110" t="s">
        <v>16</v>
      </c>
      <c r="C48" s="106">
        <v>8000.0</v>
      </c>
      <c r="D48" s="107">
        <v>110.0</v>
      </c>
      <c r="E48" s="109">
        <f t="shared" si="6"/>
        <v>880000</v>
      </c>
      <c r="F48" s="66"/>
      <c r="G48" s="110" t="s">
        <v>16</v>
      </c>
      <c r="H48" s="106">
        <v>7000.0</v>
      </c>
      <c r="I48" s="107">
        <v>135.0</v>
      </c>
      <c r="J48" s="109">
        <f t="shared" si="8"/>
        <v>945000</v>
      </c>
      <c r="K48" s="4"/>
      <c r="L48" s="110" t="s">
        <v>16</v>
      </c>
      <c r="M48" s="106">
        <v>6500.0</v>
      </c>
      <c r="N48" s="107">
        <v>160.0</v>
      </c>
      <c r="O48" s="109">
        <f t="shared" si="9"/>
        <v>1040000</v>
      </c>
      <c r="P48" s="1"/>
    </row>
    <row r="49" ht="15.75" customHeight="1">
      <c r="A49" s="4"/>
      <c r="B49" s="110" t="s">
        <v>36</v>
      </c>
      <c r="C49" s="106">
        <v>7000.0</v>
      </c>
      <c r="D49" s="107">
        <v>5.0</v>
      </c>
      <c r="E49" s="109">
        <f t="shared" si="6"/>
        <v>35000</v>
      </c>
      <c r="F49" s="66"/>
      <c r="G49" s="110" t="s">
        <v>36</v>
      </c>
      <c r="H49" s="106">
        <v>6000.0</v>
      </c>
      <c r="I49" s="107">
        <v>10.0</v>
      </c>
      <c r="J49" s="109">
        <f t="shared" si="8"/>
        <v>60000</v>
      </c>
      <c r="K49" s="4"/>
      <c r="L49" s="110" t="s">
        <v>36</v>
      </c>
      <c r="M49" s="106">
        <v>5000.0</v>
      </c>
      <c r="N49" s="107">
        <v>15.0</v>
      </c>
      <c r="O49" s="109">
        <f t="shared" si="9"/>
        <v>75000</v>
      </c>
      <c r="P49" s="1"/>
    </row>
    <row r="50" ht="15.75" customHeight="1">
      <c r="A50" s="4"/>
      <c r="B50" s="110" t="s">
        <v>15</v>
      </c>
      <c r="C50" s="106">
        <v>8000.0</v>
      </c>
      <c r="D50" s="107">
        <v>59.0</v>
      </c>
      <c r="E50" s="109">
        <f t="shared" si="6"/>
        <v>472000</v>
      </c>
      <c r="F50" s="66"/>
      <c r="G50" s="110" t="s">
        <v>15</v>
      </c>
      <c r="H50" s="106">
        <v>5000.0</v>
      </c>
      <c r="I50" s="107">
        <v>70.0</v>
      </c>
      <c r="J50" s="109">
        <f t="shared" si="8"/>
        <v>350000</v>
      </c>
      <c r="K50" s="4"/>
      <c r="L50" s="110" t="s">
        <v>15</v>
      </c>
      <c r="M50" s="106">
        <v>4000.0</v>
      </c>
      <c r="N50" s="107">
        <v>88.0</v>
      </c>
      <c r="O50" s="109">
        <f t="shared" si="9"/>
        <v>352000</v>
      </c>
      <c r="P50" s="1"/>
    </row>
    <row r="51" ht="30.0" customHeight="1">
      <c r="A51" s="4"/>
      <c r="B51" s="175" t="s">
        <v>142</v>
      </c>
      <c r="C51" s="106">
        <v>10000.0</v>
      </c>
      <c r="D51" s="107">
        <v>5.0</v>
      </c>
      <c r="E51" s="109">
        <f t="shared" si="6"/>
        <v>50000</v>
      </c>
      <c r="F51" s="66"/>
      <c r="G51" s="175" t="s">
        <v>142</v>
      </c>
      <c r="H51" s="106">
        <v>7000.0</v>
      </c>
      <c r="I51" s="107">
        <v>7.0</v>
      </c>
      <c r="J51" s="109">
        <f t="shared" si="8"/>
        <v>49000</v>
      </c>
      <c r="K51" s="4"/>
      <c r="L51" s="175" t="s">
        <v>142</v>
      </c>
      <c r="M51" s="106">
        <v>5000.0</v>
      </c>
      <c r="N51" s="107">
        <v>10.0</v>
      </c>
      <c r="O51" s="109">
        <f t="shared" si="9"/>
        <v>50000</v>
      </c>
      <c r="P51" s="1"/>
    </row>
    <row r="52" ht="15.75" customHeight="1">
      <c r="A52" s="4"/>
      <c r="B52" s="110" t="s">
        <v>143</v>
      </c>
      <c r="C52" s="106">
        <v>10000.0</v>
      </c>
      <c r="D52" s="107">
        <v>2.0</v>
      </c>
      <c r="E52" s="109">
        <f t="shared" si="6"/>
        <v>20000</v>
      </c>
      <c r="F52" s="66"/>
      <c r="G52" s="110" t="s">
        <v>143</v>
      </c>
      <c r="H52" s="106">
        <v>9000.0</v>
      </c>
      <c r="I52" s="107">
        <v>2.0</v>
      </c>
      <c r="J52" s="109">
        <f t="shared" si="8"/>
        <v>18000</v>
      </c>
      <c r="K52" s="4"/>
      <c r="L52" s="110" t="s">
        <v>143</v>
      </c>
      <c r="M52" s="106">
        <v>7000.0</v>
      </c>
      <c r="N52" s="107">
        <v>2.0</v>
      </c>
      <c r="O52" s="109">
        <f t="shared" si="9"/>
        <v>14000</v>
      </c>
      <c r="P52" s="1"/>
    </row>
    <row r="53" ht="15.75" customHeight="1">
      <c r="A53" s="4"/>
      <c r="B53" s="110" t="s">
        <v>37</v>
      </c>
      <c r="C53" s="106">
        <v>22999.0</v>
      </c>
      <c r="D53" s="107">
        <v>2.0</v>
      </c>
      <c r="E53" s="109">
        <f t="shared" si="6"/>
        <v>45998</v>
      </c>
      <c r="F53" s="66"/>
      <c r="G53" s="110" t="s">
        <v>37</v>
      </c>
      <c r="H53" s="106">
        <v>22999.0</v>
      </c>
      <c r="I53" s="107">
        <v>3.0</v>
      </c>
      <c r="J53" s="109">
        <f t="shared" si="8"/>
        <v>68997</v>
      </c>
      <c r="K53" s="4"/>
      <c r="L53" s="110" t="s">
        <v>37</v>
      </c>
      <c r="M53" s="106">
        <v>22999.0</v>
      </c>
      <c r="N53" s="107">
        <v>4.0</v>
      </c>
      <c r="O53" s="109">
        <f t="shared" si="9"/>
        <v>91996</v>
      </c>
      <c r="P53" s="1"/>
    </row>
    <row r="54" ht="15.75" customHeight="1">
      <c r="A54" s="4"/>
      <c r="B54" s="110" t="s">
        <v>38</v>
      </c>
      <c r="C54" s="106">
        <v>15000.0</v>
      </c>
      <c r="D54" s="107">
        <v>5.0</v>
      </c>
      <c r="E54" s="109">
        <f t="shared" si="6"/>
        <v>75000</v>
      </c>
      <c r="F54" s="66"/>
      <c r="G54" s="110" t="s">
        <v>38</v>
      </c>
      <c r="H54" s="106">
        <v>14000.0</v>
      </c>
      <c r="I54" s="107">
        <v>8.0</v>
      </c>
      <c r="J54" s="109">
        <f t="shared" si="8"/>
        <v>112000</v>
      </c>
      <c r="K54" s="4"/>
      <c r="L54" s="110" t="s">
        <v>38</v>
      </c>
      <c r="M54" s="106">
        <v>12700.0</v>
      </c>
      <c r="N54" s="107">
        <v>10.0</v>
      </c>
      <c r="O54" s="109">
        <f t="shared" si="9"/>
        <v>127000</v>
      </c>
      <c r="P54" s="1"/>
    </row>
    <row r="55" ht="15.75" customHeight="1">
      <c r="A55" s="4"/>
      <c r="B55" s="110" t="s">
        <v>39</v>
      </c>
      <c r="C55" s="106">
        <v>44200.0</v>
      </c>
      <c r="D55" s="107">
        <v>5.0</v>
      </c>
      <c r="E55" s="109">
        <f t="shared" si="6"/>
        <v>221000</v>
      </c>
      <c r="F55" s="66"/>
      <c r="G55" s="110" t="s">
        <v>39</v>
      </c>
      <c r="H55" s="106">
        <v>43500.0</v>
      </c>
      <c r="I55" s="107">
        <v>5.0</v>
      </c>
      <c r="J55" s="109">
        <f t="shared" si="8"/>
        <v>217500</v>
      </c>
      <c r="K55" s="4"/>
      <c r="L55" s="110" t="s">
        <v>39</v>
      </c>
      <c r="M55" s="106">
        <v>37600.0</v>
      </c>
      <c r="N55" s="107">
        <v>5.0</v>
      </c>
      <c r="O55" s="109">
        <f t="shared" si="9"/>
        <v>188000</v>
      </c>
      <c r="P55" s="1"/>
    </row>
    <row r="56" ht="15.75" customHeight="1">
      <c r="A56" s="4"/>
      <c r="B56" s="110" t="s">
        <v>40</v>
      </c>
      <c r="C56" s="106">
        <v>22000.0</v>
      </c>
      <c r="D56" s="107">
        <v>5.0</v>
      </c>
      <c r="E56" s="109">
        <f t="shared" si="6"/>
        <v>110000</v>
      </c>
      <c r="F56" s="66"/>
      <c r="G56" s="110" t="s">
        <v>40</v>
      </c>
      <c r="H56" s="106">
        <v>20600.0</v>
      </c>
      <c r="I56" s="107">
        <v>7.0</v>
      </c>
      <c r="J56" s="109">
        <f t="shared" si="8"/>
        <v>144200</v>
      </c>
      <c r="K56" s="4"/>
      <c r="L56" s="110" t="s">
        <v>40</v>
      </c>
      <c r="M56" s="106">
        <v>18800.0</v>
      </c>
      <c r="N56" s="107">
        <v>10.0</v>
      </c>
      <c r="O56" s="109">
        <f t="shared" si="9"/>
        <v>188000</v>
      </c>
      <c r="P56" s="1"/>
    </row>
    <row r="57" ht="15.75" customHeight="1">
      <c r="A57" s="4"/>
      <c r="B57" s="110" t="s">
        <v>41</v>
      </c>
      <c r="C57" s="106">
        <v>8250.0</v>
      </c>
      <c r="D57" s="107">
        <v>5.0</v>
      </c>
      <c r="E57" s="109">
        <f t="shared" si="6"/>
        <v>41250</v>
      </c>
      <c r="F57" s="66"/>
      <c r="G57" s="110" t="s">
        <v>41</v>
      </c>
      <c r="H57" s="106">
        <v>8000.0</v>
      </c>
      <c r="I57" s="107">
        <v>5.0</v>
      </c>
      <c r="J57" s="109">
        <f t="shared" si="8"/>
        <v>40000</v>
      </c>
      <c r="K57" s="4"/>
      <c r="L57" s="110" t="s">
        <v>41</v>
      </c>
      <c r="M57" s="106">
        <v>6700.0</v>
      </c>
      <c r="N57" s="107">
        <v>5.0</v>
      </c>
      <c r="O57" s="109">
        <f t="shared" si="9"/>
        <v>33500</v>
      </c>
      <c r="P57" s="1"/>
    </row>
    <row r="58" ht="15.75" customHeight="1">
      <c r="A58" s="4"/>
      <c r="B58" s="110" t="s">
        <v>42</v>
      </c>
      <c r="C58" s="106">
        <v>23400.0</v>
      </c>
      <c r="D58" s="107">
        <v>2.0</v>
      </c>
      <c r="E58" s="109">
        <f t="shared" si="6"/>
        <v>46800</v>
      </c>
      <c r="F58" s="66"/>
      <c r="G58" s="110" t="s">
        <v>42</v>
      </c>
      <c r="H58" s="106">
        <v>23000.0</v>
      </c>
      <c r="I58" s="107">
        <v>4.0</v>
      </c>
      <c r="J58" s="109">
        <f t="shared" si="8"/>
        <v>92000</v>
      </c>
      <c r="K58" s="4"/>
      <c r="L58" s="110" t="s">
        <v>42</v>
      </c>
      <c r="M58" s="106">
        <v>22000.0</v>
      </c>
      <c r="N58" s="107">
        <v>5.0</v>
      </c>
      <c r="O58" s="109">
        <f t="shared" si="9"/>
        <v>110000</v>
      </c>
      <c r="P58" s="1"/>
    </row>
    <row r="59" ht="15.75" customHeight="1">
      <c r="A59" s="4"/>
      <c r="B59" s="110" t="s">
        <v>43</v>
      </c>
      <c r="C59" s="106">
        <v>23500.0</v>
      </c>
      <c r="D59" s="107">
        <v>2.0</v>
      </c>
      <c r="E59" s="109">
        <f t="shared" si="6"/>
        <v>47000</v>
      </c>
      <c r="F59" s="66"/>
      <c r="G59" s="110" t="s">
        <v>43</v>
      </c>
      <c r="H59" s="106">
        <v>22500.0</v>
      </c>
      <c r="I59" s="107">
        <v>4.0</v>
      </c>
      <c r="J59" s="109">
        <f t="shared" si="8"/>
        <v>90000</v>
      </c>
      <c r="K59" s="4"/>
      <c r="L59" s="110" t="s">
        <v>43</v>
      </c>
      <c r="M59" s="106">
        <v>20990.0</v>
      </c>
      <c r="N59" s="107">
        <v>5.0</v>
      </c>
      <c r="O59" s="109">
        <f t="shared" si="9"/>
        <v>104950</v>
      </c>
      <c r="P59" s="1"/>
    </row>
    <row r="60" ht="15.75" customHeight="1">
      <c r="A60" s="4"/>
      <c r="B60" s="110" t="s">
        <v>44</v>
      </c>
      <c r="C60" s="106">
        <v>12250.0</v>
      </c>
      <c r="D60" s="107">
        <v>2.0</v>
      </c>
      <c r="E60" s="109">
        <f t="shared" si="6"/>
        <v>24500</v>
      </c>
      <c r="F60" s="66"/>
      <c r="G60" s="110" t="s">
        <v>44</v>
      </c>
      <c r="H60" s="106">
        <v>10999.0</v>
      </c>
      <c r="I60" s="107">
        <v>4.0</v>
      </c>
      <c r="J60" s="109">
        <f t="shared" si="8"/>
        <v>43996</v>
      </c>
      <c r="K60" s="4"/>
      <c r="L60" s="110" t="s">
        <v>44</v>
      </c>
      <c r="M60" s="106">
        <v>10400.0</v>
      </c>
      <c r="N60" s="107">
        <v>5.0</v>
      </c>
      <c r="O60" s="109">
        <f t="shared" si="9"/>
        <v>52000</v>
      </c>
      <c r="P60" s="1"/>
    </row>
    <row r="61" ht="15.75" customHeight="1">
      <c r="A61" s="4"/>
      <c r="B61" s="110" t="s">
        <v>45</v>
      </c>
      <c r="C61" s="106">
        <v>11750.0</v>
      </c>
      <c r="D61" s="107">
        <v>5.0</v>
      </c>
      <c r="E61" s="109">
        <f t="shared" si="6"/>
        <v>58750</v>
      </c>
      <c r="F61" s="66"/>
      <c r="G61" s="110" t="s">
        <v>45</v>
      </c>
      <c r="H61" s="106">
        <v>11548.0</v>
      </c>
      <c r="I61" s="107">
        <v>5.0</v>
      </c>
      <c r="J61" s="109">
        <f t="shared" si="8"/>
        <v>57740</v>
      </c>
      <c r="K61" s="4"/>
      <c r="L61" s="110" t="s">
        <v>45</v>
      </c>
      <c r="M61" s="106">
        <v>10500.0</v>
      </c>
      <c r="N61" s="107">
        <v>5.0</v>
      </c>
      <c r="O61" s="109">
        <f t="shared" si="9"/>
        <v>52500</v>
      </c>
      <c r="P61" s="1"/>
    </row>
    <row r="62" ht="15.75" customHeight="1">
      <c r="A62" s="4"/>
      <c r="B62" s="110" t="s">
        <v>46</v>
      </c>
      <c r="C62" s="106">
        <v>3200.0</v>
      </c>
      <c r="D62" s="107">
        <v>20.0</v>
      </c>
      <c r="E62" s="109">
        <f t="shared" si="6"/>
        <v>64000</v>
      </c>
      <c r="F62" s="66"/>
      <c r="G62" s="110" t="s">
        <v>46</v>
      </c>
      <c r="H62" s="106">
        <v>3200.0</v>
      </c>
      <c r="I62" s="107">
        <v>30.0</v>
      </c>
      <c r="J62" s="109">
        <f t="shared" si="8"/>
        <v>96000</v>
      </c>
      <c r="K62" s="4"/>
      <c r="L62" s="110" t="s">
        <v>46</v>
      </c>
      <c r="M62" s="106">
        <v>3200.0</v>
      </c>
      <c r="N62" s="107">
        <v>35.0</v>
      </c>
      <c r="O62" s="109">
        <f t="shared" si="9"/>
        <v>112000</v>
      </c>
      <c r="P62" s="1"/>
    </row>
    <row r="63" ht="15.75" customHeight="1">
      <c r="A63" s="4"/>
      <c r="B63" s="110" t="s">
        <v>47</v>
      </c>
      <c r="C63" s="106">
        <v>2500.0</v>
      </c>
      <c r="D63" s="107">
        <v>20.0</v>
      </c>
      <c r="E63" s="109">
        <f t="shared" si="6"/>
        <v>50000</v>
      </c>
      <c r="F63" s="66"/>
      <c r="G63" s="110" t="s">
        <v>47</v>
      </c>
      <c r="H63" s="106">
        <v>2500.0</v>
      </c>
      <c r="I63" s="107">
        <v>30.0</v>
      </c>
      <c r="J63" s="109">
        <f t="shared" si="8"/>
        <v>75000</v>
      </c>
      <c r="K63" s="4"/>
      <c r="L63" s="110" t="s">
        <v>47</v>
      </c>
      <c r="M63" s="106">
        <v>2500.0</v>
      </c>
      <c r="N63" s="107">
        <v>35.0</v>
      </c>
      <c r="O63" s="109">
        <f t="shared" si="9"/>
        <v>87500</v>
      </c>
      <c r="P63" s="1"/>
    </row>
    <row r="64" ht="15.75" customHeight="1">
      <c r="A64" s="4"/>
      <c r="B64" s="110" t="s">
        <v>48</v>
      </c>
      <c r="C64" s="106">
        <v>2500.0</v>
      </c>
      <c r="D64" s="107">
        <v>20.0</v>
      </c>
      <c r="E64" s="109">
        <f t="shared" si="6"/>
        <v>50000</v>
      </c>
      <c r="F64" s="66"/>
      <c r="G64" s="110" t="s">
        <v>48</v>
      </c>
      <c r="H64" s="106">
        <v>2500.0</v>
      </c>
      <c r="I64" s="107">
        <v>30.0</v>
      </c>
      <c r="J64" s="109">
        <f t="shared" si="8"/>
        <v>75000</v>
      </c>
      <c r="K64" s="4"/>
      <c r="L64" s="110" t="s">
        <v>48</v>
      </c>
      <c r="M64" s="106">
        <v>2500.0</v>
      </c>
      <c r="N64" s="107">
        <v>35.0</v>
      </c>
      <c r="O64" s="109">
        <f t="shared" si="9"/>
        <v>87500</v>
      </c>
      <c r="P64" s="1"/>
    </row>
    <row r="65" ht="15.75" customHeight="1">
      <c r="A65" s="4"/>
      <c r="B65" s="110" t="s">
        <v>49</v>
      </c>
      <c r="C65" s="106">
        <v>2300.0</v>
      </c>
      <c r="D65" s="107">
        <v>20.0</v>
      </c>
      <c r="E65" s="109">
        <f t="shared" si="6"/>
        <v>46000</v>
      </c>
      <c r="F65" s="66"/>
      <c r="G65" s="110" t="s">
        <v>49</v>
      </c>
      <c r="H65" s="106">
        <v>2300.0</v>
      </c>
      <c r="I65" s="107">
        <v>30.0</v>
      </c>
      <c r="J65" s="109">
        <f t="shared" si="8"/>
        <v>69000</v>
      </c>
      <c r="K65" s="4"/>
      <c r="L65" s="110" t="s">
        <v>49</v>
      </c>
      <c r="M65" s="106">
        <v>2300.0</v>
      </c>
      <c r="N65" s="107">
        <v>35.0</v>
      </c>
      <c r="O65" s="109">
        <f t="shared" si="9"/>
        <v>80500</v>
      </c>
      <c r="P65" s="1"/>
    </row>
    <row r="66" ht="15.75" customHeight="1">
      <c r="A66" s="4"/>
      <c r="B66" s="110" t="s">
        <v>50</v>
      </c>
      <c r="C66" s="106">
        <v>27270.0</v>
      </c>
      <c r="D66" s="107">
        <v>3.0</v>
      </c>
      <c r="E66" s="109">
        <f t="shared" si="6"/>
        <v>81810</v>
      </c>
      <c r="F66" s="66"/>
      <c r="G66" s="110" t="s">
        <v>50</v>
      </c>
      <c r="H66" s="106">
        <v>26500.0</v>
      </c>
      <c r="I66" s="107">
        <v>5.0</v>
      </c>
      <c r="J66" s="109">
        <f t="shared" si="8"/>
        <v>132500</v>
      </c>
      <c r="K66" s="4"/>
      <c r="L66" s="110" t="s">
        <v>50</v>
      </c>
      <c r="M66" s="106">
        <v>23990.0</v>
      </c>
      <c r="N66" s="107">
        <v>7.0</v>
      </c>
      <c r="O66" s="109">
        <f t="shared" si="9"/>
        <v>167930</v>
      </c>
      <c r="P66" s="1"/>
    </row>
    <row r="67" ht="15.75" customHeight="1">
      <c r="A67" s="4"/>
      <c r="B67" s="110" t="s">
        <v>51</v>
      </c>
      <c r="C67" s="106">
        <v>50000.0</v>
      </c>
      <c r="D67" s="107">
        <v>323.0</v>
      </c>
      <c r="E67" s="109">
        <f t="shared" si="6"/>
        <v>16150000</v>
      </c>
      <c r="F67" s="66"/>
      <c r="G67" s="110" t="s">
        <v>51</v>
      </c>
      <c r="H67" s="106">
        <v>50000.0</v>
      </c>
      <c r="I67" s="107">
        <v>325.0</v>
      </c>
      <c r="J67" s="109">
        <f t="shared" si="8"/>
        <v>16250000</v>
      </c>
      <c r="K67" s="4"/>
      <c r="L67" s="110" t="s">
        <v>51</v>
      </c>
      <c r="M67" s="106">
        <v>50000.0</v>
      </c>
      <c r="N67" s="107">
        <v>330.0</v>
      </c>
      <c r="O67" s="109">
        <f t="shared" si="9"/>
        <v>16500000</v>
      </c>
      <c r="P67" s="1"/>
    </row>
    <row r="68" ht="15.75" customHeight="1">
      <c r="A68" s="4"/>
      <c r="B68" s="110" t="s">
        <v>52</v>
      </c>
      <c r="C68" s="106">
        <v>16500.0</v>
      </c>
      <c r="D68" s="107">
        <v>4.0</v>
      </c>
      <c r="E68" s="109">
        <f t="shared" si="6"/>
        <v>66000</v>
      </c>
      <c r="F68" s="66"/>
      <c r="G68" s="110" t="s">
        <v>52</v>
      </c>
      <c r="H68" s="106">
        <v>16500.0</v>
      </c>
      <c r="I68" s="107">
        <v>4.0</v>
      </c>
      <c r="J68" s="109">
        <f t="shared" si="8"/>
        <v>66000</v>
      </c>
      <c r="K68" s="4"/>
      <c r="L68" s="110" t="s">
        <v>52</v>
      </c>
      <c r="M68" s="106">
        <v>16500.0</v>
      </c>
      <c r="N68" s="107">
        <v>4.0</v>
      </c>
      <c r="O68" s="109">
        <f t="shared" si="9"/>
        <v>66000</v>
      </c>
      <c r="P68" s="1"/>
    </row>
    <row r="69" ht="15.75" customHeight="1">
      <c r="A69" s="4"/>
      <c r="B69" s="110" t="s">
        <v>53</v>
      </c>
      <c r="C69" s="106">
        <v>2500.0</v>
      </c>
      <c r="D69" s="107">
        <v>35.0</v>
      </c>
      <c r="E69" s="109">
        <f t="shared" si="6"/>
        <v>87500</v>
      </c>
      <c r="F69" s="66"/>
      <c r="G69" s="110" t="s">
        <v>53</v>
      </c>
      <c r="H69" s="106">
        <v>2500.0</v>
      </c>
      <c r="I69" s="107">
        <v>30.0</v>
      </c>
      <c r="J69" s="109">
        <f t="shared" si="8"/>
        <v>75000</v>
      </c>
      <c r="K69" s="4"/>
      <c r="L69" s="110" t="s">
        <v>53</v>
      </c>
      <c r="M69" s="106">
        <v>2500.0</v>
      </c>
      <c r="N69" s="107">
        <v>25.0</v>
      </c>
      <c r="O69" s="109">
        <f t="shared" si="9"/>
        <v>62500</v>
      </c>
      <c r="P69" s="1"/>
    </row>
    <row r="70" ht="15.75" customHeight="1">
      <c r="A70" s="4"/>
      <c r="B70" s="110" t="s">
        <v>54</v>
      </c>
      <c r="C70" s="106">
        <v>100000.0</v>
      </c>
      <c r="D70" s="112">
        <v>1.0</v>
      </c>
      <c r="E70" s="109">
        <f t="shared" si="6"/>
        <v>100000</v>
      </c>
      <c r="F70" s="66"/>
      <c r="G70" s="110" t="s">
        <v>54</v>
      </c>
      <c r="H70" s="106">
        <v>100000.0</v>
      </c>
      <c r="I70" s="107">
        <v>1.0</v>
      </c>
      <c r="J70" s="109">
        <f t="shared" si="8"/>
        <v>100000</v>
      </c>
      <c r="K70" s="4"/>
      <c r="L70" s="110" t="s">
        <v>54</v>
      </c>
      <c r="M70" s="106">
        <v>100000.0</v>
      </c>
      <c r="N70" s="107">
        <v>1.0</v>
      </c>
      <c r="O70" s="109">
        <f t="shared" si="9"/>
        <v>100000</v>
      </c>
      <c r="P70" s="1"/>
    </row>
    <row r="71" ht="15.75" customHeight="1">
      <c r="A71" s="4"/>
      <c r="B71" s="110" t="s">
        <v>55</v>
      </c>
      <c r="C71" s="106">
        <v>3000000.0</v>
      </c>
      <c r="D71" s="107">
        <v>1.0</v>
      </c>
      <c r="E71" s="109">
        <f t="shared" si="6"/>
        <v>3000000</v>
      </c>
      <c r="F71" s="66"/>
      <c r="G71" s="110" t="s">
        <v>55</v>
      </c>
      <c r="H71" s="106">
        <v>2000000.0</v>
      </c>
      <c r="I71" s="107">
        <v>1.0</v>
      </c>
      <c r="J71" s="109">
        <f t="shared" si="8"/>
        <v>2000000</v>
      </c>
      <c r="K71" s="4"/>
      <c r="L71" s="110" t="s">
        <v>55</v>
      </c>
      <c r="M71" s="106">
        <v>1500000.0</v>
      </c>
      <c r="N71" s="107">
        <v>1.0</v>
      </c>
      <c r="O71" s="109">
        <f t="shared" si="9"/>
        <v>1500000</v>
      </c>
      <c r="P71" s="1"/>
    </row>
    <row r="72" ht="15.75" hidden="1" customHeight="1">
      <c r="A72" s="1"/>
      <c r="B72" s="110" t="str">
        <f t="shared" ref="B72:B78" si="11">G72</f>
        <v/>
      </c>
      <c r="C72" s="106"/>
      <c r="D72" s="112"/>
      <c r="E72" s="109">
        <v>0.0</v>
      </c>
      <c r="F72" s="66" t="str">
        <f t="shared" ref="F72:F78" si="12">G72</f>
        <v/>
      </c>
      <c r="G72" s="113"/>
      <c r="H72" s="114"/>
      <c r="I72" s="115"/>
      <c r="J72" s="109">
        <f t="shared" si="8"/>
        <v>0</v>
      </c>
      <c r="K72" s="1"/>
      <c r="L72" s="110" t="str">
        <f t="shared" ref="L72:L78" si="13">G72</f>
        <v/>
      </c>
      <c r="M72" s="114"/>
      <c r="N72" s="115"/>
      <c r="O72" s="109">
        <v>0.0</v>
      </c>
      <c r="P72" s="1"/>
    </row>
    <row r="73" ht="15.75" hidden="1" customHeight="1">
      <c r="A73" s="1"/>
      <c r="B73" s="110" t="str">
        <f t="shared" si="11"/>
        <v/>
      </c>
      <c r="C73" s="106"/>
      <c r="D73" s="112"/>
      <c r="E73" s="109">
        <v>0.0</v>
      </c>
      <c r="F73" s="66" t="str">
        <f t="shared" si="12"/>
        <v/>
      </c>
      <c r="G73" s="116"/>
      <c r="H73" s="114"/>
      <c r="I73" s="115"/>
      <c r="J73" s="109">
        <f t="shared" si="8"/>
        <v>0</v>
      </c>
      <c r="K73" s="1"/>
      <c r="L73" s="110" t="str">
        <f t="shared" si="13"/>
        <v/>
      </c>
      <c r="M73" s="114"/>
      <c r="N73" s="115"/>
      <c r="O73" s="109">
        <v>0.0</v>
      </c>
      <c r="P73" s="1"/>
    </row>
    <row r="74" ht="15.75" hidden="1" customHeight="1">
      <c r="A74" s="1"/>
      <c r="B74" s="110" t="str">
        <f t="shared" si="11"/>
        <v/>
      </c>
      <c r="C74" s="114"/>
      <c r="D74" s="115"/>
      <c r="E74" s="109">
        <v>0.0</v>
      </c>
      <c r="F74" s="66" t="str">
        <f t="shared" si="12"/>
        <v/>
      </c>
      <c r="G74" s="113"/>
      <c r="H74" s="114"/>
      <c r="I74" s="115"/>
      <c r="J74" s="109">
        <f t="shared" si="8"/>
        <v>0</v>
      </c>
      <c r="K74" s="1"/>
      <c r="L74" s="110" t="str">
        <f t="shared" si="13"/>
        <v/>
      </c>
      <c r="M74" s="114"/>
      <c r="N74" s="115"/>
      <c r="O74" s="109">
        <v>0.0</v>
      </c>
      <c r="P74" s="1"/>
    </row>
    <row r="75" ht="15.75" hidden="1" customHeight="1">
      <c r="A75" s="1"/>
      <c r="B75" s="110" t="str">
        <f t="shared" si="11"/>
        <v/>
      </c>
      <c r="C75" s="114"/>
      <c r="D75" s="115"/>
      <c r="E75" s="109">
        <v>0.0</v>
      </c>
      <c r="F75" s="66" t="str">
        <f t="shared" si="12"/>
        <v/>
      </c>
      <c r="G75" s="116"/>
      <c r="H75" s="114"/>
      <c r="I75" s="115"/>
      <c r="J75" s="109">
        <f t="shared" si="8"/>
        <v>0</v>
      </c>
      <c r="K75" s="1"/>
      <c r="L75" s="110" t="str">
        <f t="shared" si="13"/>
        <v/>
      </c>
      <c r="M75" s="114"/>
      <c r="N75" s="115"/>
      <c r="O75" s="109">
        <v>0.0</v>
      </c>
      <c r="P75" s="1"/>
    </row>
    <row r="76" ht="15.75" hidden="1" customHeight="1">
      <c r="A76" s="1"/>
      <c r="B76" s="110" t="str">
        <f t="shared" si="11"/>
        <v/>
      </c>
      <c r="C76" s="114"/>
      <c r="D76" s="115"/>
      <c r="E76" s="109">
        <v>0.0</v>
      </c>
      <c r="F76" s="66" t="str">
        <f t="shared" si="12"/>
        <v/>
      </c>
      <c r="G76" s="113"/>
      <c r="H76" s="114"/>
      <c r="I76" s="115"/>
      <c r="J76" s="109">
        <f t="shared" si="8"/>
        <v>0</v>
      </c>
      <c r="K76" s="1"/>
      <c r="L76" s="110" t="str">
        <f t="shared" si="13"/>
        <v/>
      </c>
      <c r="M76" s="114"/>
      <c r="N76" s="115"/>
      <c r="O76" s="109">
        <v>0.0</v>
      </c>
      <c r="P76" s="1"/>
    </row>
    <row r="77" ht="15.75" hidden="1" customHeight="1">
      <c r="A77" s="1"/>
      <c r="B77" s="110" t="str">
        <f t="shared" si="11"/>
        <v/>
      </c>
      <c r="C77" s="114"/>
      <c r="D77" s="117"/>
      <c r="E77" s="109">
        <v>0.0</v>
      </c>
      <c r="F77" s="66" t="str">
        <f t="shared" si="12"/>
        <v/>
      </c>
      <c r="G77" s="113"/>
      <c r="H77" s="114"/>
      <c r="I77" s="117"/>
      <c r="J77" s="109">
        <f t="shared" si="8"/>
        <v>0</v>
      </c>
      <c r="K77" s="1"/>
      <c r="L77" s="110" t="str">
        <f t="shared" si="13"/>
        <v/>
      </c>
      <c r="M77" s="114"/>
      <c r="N77" s="117"/>
      <c r="O77" s="109">
        <v>0.0</v>
      </c>
      <c r="P77" s="1"/>
    </row>
    <row r="78" ht="15.75" hidden="1" customHeight="1">
      <c r="A78" s="1"/>
      <c r="B78" s="118" t="str">
        <f t="shared" si="11"/>
        <v/>
      </c>
      <c r="C78" s="119"/>
      <c r="D78" s="120"/>
      <c r="E78" s="109">
        <v>0.0</v>
      </c>
      <c r="F78" s="66" t="str">
        <f t="shared" si="12"/>
        <v/>
      </c>
      <c r="G78" s="118"/>
      <c r="H78" s="119"/>
      <c r="I78" s="121"/>
      <c r="J78" s="109">
        <f t="shared" si="8"/>
        <v>0</v>
      </c>
      <c r="K78" s="1"/>
      <c r="L78" s="118" t="str">
        <f t="shared" si="13"/>
        <v/>
      </c>
      <c r="M78" s="119"/>
      <c r="N78" s="121"/>
      <c r="O78" s="109">
        <v>0.0</v>
      </c>
      <c r="P78" s="1"/>
    </row>
    <row r="79" ht="18.75" customHeight="1">
      <c r="A79" s="4"/>
      <c r="B79" s="122" t="s">
        <v>56</v>
      </c>
      <c r="C79" s="87"/>
      <c r="D79" s="88"/>
      <c r="E79" s="123">
        <f>SUM(E41:E78)</f>
        <v>31112608</v>
      </c>
      <c r="F79" s="72"/>
      <c r="G79" s="122" t="s">
        <v>56</v>
      </c>
      <c r="H79" s="87"/>
      <c r="I79" s="88"/>
      <c r="J79" s="123">
        <f>SUM(J41:J78)</f>
        <v>33496933</v>
      </c>
      <c r="K79" s="4"/>
      <c r="L79" s="122" t="s">
        <v>56</v>
      </c>
      <c r="M79" s="87"/>
      <c r="N79" s="88"/>
      <c r="O79" s="123">
        <f>SUM(O41:O78)</f>
        <v>34598876</v>
      </c>
      <c r="P79" s="1"/>
    </row>
    <row r="80" ht="15.75" customHeight="1">
      <c r="A80" s="1"/>
      <c r="B80" s="1"/>
      <c r="C80" s="96"/>
      <c r="D80" s="96"/>
      <c r="E80" s="1"/>
      <c r="F80" s="66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23.25" customHeight="1">
      <c r="A81" s="1"/>
      <c r="B81" s="124" t="str">
        <f>'🏦COVER🏦'!D12</f>
        <v>#REF!</v>
      </c>
      <c r="C81" s="125" t="s">
        <v>5</v>
      </c>
      <c r="D81" s="125" t="s">
        <v>6</v>
      </c>
      <c r="E81" s="104" t="s">
        <v>7</v>
      </c>
      <c r="F81" s="66"/>
      <c r="G81" s="102" t="str">
        <f>B81</f>
        <v>#REF!</v>
      </c>
      <c r="H81" s="126" t="s">
        <v>5</v>
      </c>
      <c r="I81" s="126" t="s">
        <v>6</v>
      </c>
      <c r="J81" s="125" t="s">
        <v>7</v>
      </c>
      <c r="K81" s="1"/>
      <c r="L81" s="102" t="str">
        <f>B81</f>
        <v>#REF!</v>
      </c>
      <c r="M81" s="125" t="s">
        <v>5</v>
      </c>
      <c r="N81" s="125" t="s">
        <v>6</v>
      </c>
      <c r="O81" s="125" t="s">
        <v>7</v>
      </c>
      <c r="P81" s="1"/>
    </row>
    <row r="82" ht="13.5" customHeight="1">
      <c r="A82" s="4"/>
      <c r="B82" s="127" t="s">
        <v>57</v>
      </c>
      <c r="C82" s="128">
        <v>13000.0</v>
      </c>
      <c r="D82" s="129">
        <v>2.0</v>
      </c>
      <c r="E82" s="109">
        <f t="shared" ref="E82:E109" si="14">C82*D82</f>
        <v>26000</v>
      </c>
      <c r="F82" s="66" t="str">
        <f t="shared" ref="F82:F89" si="15">G82</f>
        <v>[CC Party] Amplop putih kecil</v>
      </c>
      <c r="G82" s="127" t="s">
        <v>57</v>
      </c>
      <c r="H82" s="128">
        <v>5150.0</v>
      </c>
      <c r="I82" s="129">
        <v>3.0</v>
      </c>
      <c r="J82" s="109">
        <f t="shared" ref="J82:J109" si="16">H82*I82</f>
        <v>15450</v>
      </c>
      <c r="K82" s="4"/>
      <c r="L82" s="127" t="s">
        <v>57</v>
      </c>
      <c r="M82" s="128">
        <v>4500.0</v>
      </c>
      <c r="N82" s="129">
        <v>3.0</v>
      </c>
      <c r="O82" s="130">
        <f t="shared" ref="O82:O109" si="17">M82*N82</f>
        <v>13500</v>
      </c>
      <c r="P82" s="1"/>
    </row>
    <row r="83" ht="13.5" customHeight="1">
      <c r="A83" s="4"/>
      <c r="B83" s="127" t="s">
        <v>58</v>
      </c>
      <c r="C83" s="131">
        <v>17000.0</v>
      </c>
      <c r="D83" s="107">
        <v>5.0</v>
      </c>
      <c r="E83" s="109">
        <f t="shared" si="14"/>
        <v>85000</v>
      </c>
      <c r="F83" s="66" t="str">
        <f t="shared" si="15"/>
        <v>[CC Party] Print puzzle (kertas karton)</v>
      </c>
      <c r="G83" s="127" t="s">
        <v>58</v>
      </c>
      <c r="H83" s="131">
        <v>15000.0</v>
      </c>
      <c r="I83" s="107">
        <v>5.0</v>
      </c>
      <c r="J83" s="109">
        <f t="shared" si="16"/>
        <v>75000</v>
      </c>
      <c r="K83" s="4"/>
      <c r="L83" s="127" t="s">
        <v>58</v>
      </c>
      <c r="M83" s="131">
        <v>10000.0</v>
      </c>
      <c r="N83" s="107">
        <v>5.0</v>
      </c>
      <c r="O83" s="130">
        <f t="shared" si="17"/>
        <v>50000</v>
      </c>
      <c r="P83" s="1"/>
    </row>
    <row r="84" ht="13.5" customHeight="1">
      <c r="A84" s="1"/>
      <c r="B84" s="127" t="s">
        <v>59</v>
      </c>
      <c r="C84" s="131">
        <v>2000.0</v>
      </c>
      <c r="D84" s="107">
        <v>20.0</v>
      </c>
      <c r="E84" s="109">
        <f t="shared" si="14"/>
        <v>40000</v>
      </c>
      <c r="F84" s="66" t="str">
        <f t="shared" si="15"/>
        <v>[CC Party] print card makanan</v>
      </c>
      <c r="G84" s="127" t="s">
        <v>59</v>
      </c>
      <c r="H84" s="131">
        <v>1500.0</v>
      </c>
      <c r="I84" s="107">
        <v>20.0</v>
      </c>
      <c r="J84" s="109">
        <f t="shared" si="16"/>
        <v>30000</v>
      </c>
      <c r="K84" s="4"/>
      <c r="L84" s="127" t="s">
        <v>59</v>
      </c>
      <c r="M84" s="131">
        <v>1000.0</v>
      </c>
      <c r="N84" s="107">
        <v>20.0</v>
      </c>
      <c r="O84" s="130">
        <f t="shared" si="17"/>
        <v>20000</v>
      </c>
      <c r="P84" s="1"/>
    </row>
    <row r="85" ht="13.5" customHeight="1">
      <c r="A85" s="1"/>
      <c r="B85" s="127" t="s">
        <v>60</v>
      </c>
      <c r="C85" s="131">
        <v>8000.0</v>
      </c>
      <c r="D85" s="107">
        <v>1.0</v>
      </c>
      <c r="E85" s="109">
        <f t="shared" si="14"/>
        <v>8000</v>
      </c>
      <c r="F85" s="66" t="str">
        <f t="shared" si="15"/>
        <v>[CC Party] Jahe</v>
      </c>
      <c r="G85" s="127" t="s">
        <v>60</v>
      </c>
      <c r="H85" s="131">
        <v>7000.0</v>
      </c>
      <c r="I85" s="107">
        <v>1.0</v>
      </c>
      <c r="J85" s="109">
        <f t="shared" si="16"/>
        <v>7000</v>
      </c>
      <c r="K85" s="1"/>
      <c r="L85" s="127" t="s">
        <v>60</v>
      </c>
      <c r="M85" s="131">
        <v>5000.0</v>
      </c>
      <c r="N85" s="107">
        <v>1.0</v>
      </c>
      <c r="O85" s="130">
        <f t="shared" si="17"/>
        <v>5000</v>
      </c>
      <c r="P85" s="1"/>
    </row>
    <row r="86" ht="13.5" customHeight="1">
      <c r="A86" s="1"/>
      <c r="B86" s="127" t="s">
        <v>61</v>
      </c>
      <c r="C86" s="131">
        <v>8000.0</v>
      </c>
      <c r="D86" s="107">
        <v>1.0</v>
      </c>
      <c r="E86" s="109">
        <f t="shared" si="14"/>
        <v>8000</v>
      </c>
      <c r="F86" s="66" t="str">
        <f t="shared" si="15"/>
        <v>[CC Party] Kunyit </v>
      </c>
      <c r="G86" s="127" t="s">
        <v>61</v>
      </c>
      <c r="H86" s="131">
        <v>7000.0</v>
      </c>
      <c r="I86" s="107">
        <v>1.0</v>
      </c>
      <c r="J86" s="109">
        <f t="shared" si="16"/>
        <v>7000</v>
      </c>
      <c r="K86" s="1"/>
      <c r="L86" s="127" t="s">
        <v>61</v>
      </c>
      <c r="M86" s="131">
        <v>5000.0</v>
      </c>
      <c r="N86" s="107">
        <v>1.0</v>
      </c>
      <c r="O86" s="130">
        <f t="shared" si="17"/>
        <v>5000</v>
      </c>
      <c r="P86" s="1"/>
    </row>
    <row r="87" ht="13.5" customHeight="1">
      <c r="A87" s="1"/>
      <c r="B87" s="127" t="s">
        <v>62</v>
      </c>
      <c r="C87" s="131">
        <v>8000.0</v>
      </c>
      <c r="D87" s="107">
        <v>1.0</v>
      </c>
      <c r="E87" s="109">
        <f t="shared" si="14"/>
        <v>8000</v>
      </c>
      <c r="F87" s="66" t="str">
        <f t="shared" si="15"/>
        <v>[CC Party] Lengkuas/Laos</v>
      </c>
      <c r="G87" s="127" t="s">
        <v>62</v>
      </c>
      <c r="H87" s="131">
        <v>7000.0</v>
      </c>
      <c r="I87" s="107">
        <v>1.0</v>
      </c>
      <c r="J87" s="109">
        <f t="shared" si="16"/>
        <v>7000</v>
      </c>
      <c r="K87" s="1"/>
      <c r="L87" s="127" t="s">
        <v>62</v>
      </c>
      <c r="M87" s="131">
        <v>5000.0</v>
      </c>
      <c r="N87" s="107">
        <v>1.0</v>
      </c>
      <c r="O87" s="130">
        <f t="shared" si="17"/>
        <v>5000</v>
      </c>
      <c r="P87" s="1"/>
    </row>
    <row r="88" ht="13.5" customHeight="1">
      <c r="A88" s="1"/>
      <c r="B88" s="127" t="s">
        <v>63</v>
      </c>
      <c r="C88" s="131">
        <v>10000.0</v>
      </c>
      <c r="D88" s="107">
        <v>1.0</v>
      </c>
      <c r="E88" s="109">
        <f t="shared" si="14"/>
        <v>10000</v>
      </c>
      <c r="F88" s="66" t="str">
        <f t="shared" si="15"/>
        <v>CC Party] Kencur</v>
      </c>
      <c r="G88" s="127" t="s">
        <v>144</v>
      </c>
      <c r="H88" s="131">
        <v>8000.0</v>
      </c>
      <c r="I88" s="107">
        <v>1.0</v>
      </c>
      <c r="J88" s="109">
        <f t="shared" si="16"/>
        <v>8000</v>
      </c>
      <c r="K88" s="1"/>
      <c r="L88" s="127" t="s">
        <v>144</v>
      </c>
      <c r="M88" s="131">
        <v>5000.0</v>
      </c>
      <c r="N88" s="107">
        <v>1.0</v>
      </c>
      <c r="O88" s="130">
        <f t="shared" si="17"/>
        <v>5000</v>
      </c>
      <c r="P88" s="1"/>
    </row>
    <row r="89" ht="13.5" customHeight="1">
      <c r="A89" s="1"/>
      <c r="B89" s="127" t="s">
        <v>64</v>
      </c>
      <c r="C89" s="131">
        <v>8000.0</v>
      </c>
      <c r="D89" s="112">
        <v>1.0</v>
      </c>
      <c r="E89" s="109">
        <f t="shared" si="14"/>
        <v>8000</v>
      </c>
      <c r="F89" s="66" t="str">
        <f t="shared" si="15"/>
        <v>[CC Party] Serai/Sereh </v>
      </c>
      <c r="G89" s="127" t="s">
        <v>64</v>
      </c>
      <c r="H89" s="131">
        <v>7000.0</v>
      </c>
      <c r="I89" s="112">
        <v>1.0</v>
      </c>
      <c r="J89" s="109">
        <f t="shared" si="16"/>
        <v>7000</v>
      </c>
      <c r="K89" s="1"/>
      <c r="L89" s="127" t="s">
        <v>64</v>
      </c>
      <c r="M89" s="131">
        <v>5000.0</v>
      </c>
      <c r="N89" s="112">
        <v>1.0</v>
      </c>
      <c r="O89" s="130">
        <f t="shared" si="17"/>
        <v>5000</v>
      </c>
      <c r="P89" s="1"/>
    </row>
    <row r="90" ht="13.5" customHeight="1">
      <c r="A90" s="1"/>
      <c r="B90" s="127" t="s">
        <v>65</v>
      </c>
      <c r="C90" s="131">
        <v>7500.0</v>
      </c>
      <c r="D90" s="112">
        <v>1.0</v>
      </c>
      <c r="E90" s="109">
        <f t="shared" si="14"/>
        <v>7500</v>
      </c>
      <c r="F90" s="66"/>
      <c r="G90" s="127" t="s">
        <v>145</v>
      </c>
      <c r="H90" s="131">
        <v>5000.0</v>
      </c>
      <c r="I90" s="112">
        <v>1.0</v>
      </c>
      <c r="J90" s="109">
        <f t="shared" si="16"/>
        <v>5000</v>
      </c>
      <c r="K90" s="1"/>
      <c r="L90" s="127" t="s">
        <v>145</v>
      </c>
      <c r="M90" s="131">
        <v>3000.0</v>
      </c>
      <c r="N90" s="112">
        <v>1.0</v>
      </c>
      <c r="O90" s="130">
        <f t="shared" si="17"/>
        <v>3000</v>
      </c>
      <c r="P90" s="1"/>
    </row>
    <row r="91" ht="13.5" customHeight="1">
      <c r="A91" s="1"/>
      <c r="B91" s="127" t="s">
        <v>66</v>
      </c>
      <c r="C91" s="132">
        <v>20000.0</v>
      </c>
      <c r="D91" s="112">
        <v>1.0</v>
      </c>
      <c r="E91" s="109">
        <f t="shared" si="14"/>
        <v>20000</v>
      </c>
      <c r="F91" s="66" t="str">
        <f>G91</f>
        <v>CC Party] Kayu manis</v>
      </c>
      <c r="G91" s="127" t="s">
        <v>146</v>
      </c>
      <c r="H91" s="132">
        <v>15000.0</v>
      </c>
      <c r="I91" s="112">
        <v>1.0</v>
      </c>
      <c r="J91" s="109">
        <f t="shared" si="16"/>
        <v>15000</v>
      </c>
      <c r="K91" s="1"/>
      <c r="L91" s="127" t="s">
        <v>146</v>
      </c>
      <c r="M91" s="132">
        <v>10000.0</v>
      </c>
      <c r="N91" s="112">
        <v>1.0</v>
      </c>
      <c r="O91" s="130">
        <f t="shared" si="17"/>
        <v>10000</v>
      </c>
      <c r="P91" s="1"/>
    </row>
    <row r="92" ht="13.5" customHeight="1">
      <c r="A92" s="1"/>
      <c r="B92" s="127" t="s">
        <v>67</v>
      </c>
      <c r="C92" s="132">
        <v>7500.0</v>
      </c>
      <c r="D92" s="112">
        <v>1.0</v>
      </c>
      <c r="E92" s="109">
        <f t="shared" si="14"/>
        <v>7500</v>
      </c>
      <c r="F92" s="66"/>
      <c r="G92" s="127" t="s">
        <v>147</v>
      </c>
      <c r="H92" s="132">
        <v>6000.0</v>
      </c>
      <c r="I92" s="112">
        <v>1.0</v>
      </c>
      <c r="J92" s="109">
        <f t="shared" si="16"/>
        <v>6000</v>
      </c>
      <c r="K92" s="1"/>
      <c r="L92" s="127" t="s">
        <v>147</v>
      </c>
      <c r="M92" s="132">
        <v>4000.0</v>
      </c>
      <c r="N92" s="112">
        <v>1.0</v>
      </c>
      <c r="O92" s="130">
        <f t="shared" si="17"/>
        <v>4000</v>
      </c>
      <c r="P92" s="1"/>
    </row>
    <row r="93" ht="13.5" customHeight="1">
      <c r="A93" s="1"/>
      <c r="B93" s="127" t="s">
        <v>68</v>
      </c>
      <c r="C93" s="132">
        <v>9000.0</v>
      </c>
      <c r="D93" s="112">
        <v>1.0</v>
      </c>
      <c r="E93" s="109">
        <f t="shared" si="14"/>
        <v>9000</v>
      </c>
      <c r="F93" s="66"/>
      <c r="G93" s="127" t="s">
        <v>148</v>
      </c>
      <c r="H93" s="132">
        <v>7000.0</v>
      </c>
      <c r="I93" s="112">
        <v>1.0</v>
      </c>
      <c r="J93" s="109">
        <f t="shared" si="16"/>
        <v>7000</v>
      </c>
      <c r="K93" s="1"/>
      <c r="L93" s="127" t="s">
        <v>148</v>
      </c>
      <c r="M93" s="132">
        <v>4000.0</v>
      </c>
      <c r="N93" s="112">
        <v>1.0</v>
      </c>
      <c r="O93" s="130">
        <f t="shared" si="17"/>
        <v>4000</v>
      </c>
      <c r="P93" s="1"/>
    </row>
    <row r="94" ht="13.5" customHeight="1">
      <c r="A94" s="1"/>
      <c r="B94" s="127" t="s">
        <v>69</v>
      </c>
      <c r="C94" s="132">
        <v>7000.0</v>
      </c>
      <c r="D94" s="112">
        <v>1.0</v>
      </c>
      <c r="E94" s="109">
        <f t="shared" si="14"/>
        <v>7000</v>
      </c>
      <c r="F94" s="66"/>
      <c r="G94" s="127" t="s">
        <v>149</v>
      </c>
      <c r="H94" s="132">
        <v>5000.0</v>
      </c>
      <c r="I94" s="112">
        <v>1.0</v>
      </c>
      <c r="J94" s="109">
        <f t="shared" si="16"/>
        <v>5000</v>
      </c>
      <c r="K94" s="1"/>
      <c r="L94" s="127" t="s">
        <v>149</v>
      </c>
      <c r="M94" s="132">
        <v>3000.0</v>
      </c>
      <c r="N94" s="112">
        <v>1.0</v>
      </c>
      <c r="O94" s="130">
        <f t="shared" si="17"/>
        <v>3000</v>
      </c>
      <c r="P94" s="1"/>
    </row>
    <row r="95" ht="13.5" customHeight="1">
      <c r="A95" s="1"/>
      <c r="B95" s="127" t="s">
        <v>70</v>
      </c>
      <c r="C95" s="132">
        <v>5000.0</v>
      </c>
      <c r="D95" s="112">
        <v>4.0</v>
      </c>
      <c r="E95" s="109">
        <f t="shared" si="14"/>
        <v>20000</v>
      </c>
      <c r="F95" s="66"/>
      <c r="G95" s="127" t="s">
        <v>150</v>
      </c>
      <c r="H95" s="132">
        <v>4000.0</v>
      </c>
      <c r="I95" s="112">
        <v>4.0</v>
      </c>
      <c r="J95" s="109">
        <f t="shared" si="16"/>
        <v>16000</v>
      </c>
      <c r="K95" s="1"/>
      <c r="L95" s="127" t="s">
        <v>150</v>
      </c>
      <c r="M95" s="132">
        <v>3000.0</v>
      </c>
      <c r="N95" s="112">
        <v>4.0</v>
      </c>
      <c r="O95" s="130">
        <f t="shared" si="17"/>
        <v>12000</v>
      </c>
      <c r="P95" s="1"/>
    </row>
    <row r="96" ht="13.5" customHeight="1">
      <c r="A96" s="1"/>
      <c r="B96" s="127" t="s">
        <v>71</v>
      </c>
      <c r="C96" s="132">
        <v>65000.0</v>
      </c>
      <c r="D96" s="112">
        <v>4.0</v>
      </c>
      <c r="E96" s="109">
        <f t="shared" si="14"/>
        <v>260000</v>
      </c>
      <c r="F96" s="66"/>
      <c r="G96" s="127" t="s">
        <v>71</v>
      </c>
      <c r="H96" s="132">
        <v>50000.0</v>
      </c>
      <c r="I96" s="112">
        <v>4.0</v>
      </c>
      <c r="J96" s="109">
        <f t="shared" si="16"/>
        <v>200000</v>
      </c>
      <c r="K96" s="1"/>
      <c r="L96" s="127" t="s">
        <v>71</v>
      </c>
      <c r="M96" s="132">
        <v>40000.0</v>
      </c>
      <c r="N96" s="112">
        <v>4.0</v>
      </c>
      <c r="O96" s="130">
        <f t="shared" si="17"/>
        <v>160000</v>
      </c>
      <c r="P96" s="1"/>
    </row>
    <row r="97" ht="13.5" customHeight="1">
      <c r="A97" s="1"/>
      <c r="B97" s="127" t="s">
        <v>72</v>
      </c>
      <c r="C97" s="132">
        <v>700000.0</v>
      </c>
      <c r="D97" s="112">
        <v>1.0</v>
      </c>
      <c r="E97" s="109">
        <f t="shared" si="14"/>
        <v>700000</v>
      </c>
      <c r="F97" s="66"/>
      <c r="G97" s="127" t="s">
        <v>72</v>
      </c>
      <c r="H97" s="132">
        <v>500000.0</v>
      </c>
      <c r="I97" s="112">
        <v>1.0</v>
      </c>
      <c r="J97" s="109">
        <f t="shared" si="16"/>
        <v>500000</v>
      </c>
      <c r="K97" s="1"/>
      <c r="L97" s="127" t="s">
        <v>72</v>
      </c>
      <c r="M97" s="132">
        <v>400000.0</v>
      </c>
      <c r="N97" s="112">
        <v>1.0</v>
      </c>
      <c r="O97" s="130">
        <f t="shared" si="17"/>
        <v>400000</v>
      </c>
      <c r="P97" s="1"/>
    </row>
    <row r="98" ht="13.5" customHeight="1">
      <c r="A98" s="1"/>
      <c r="B98" s="127" t="s">
        <v>73</v>
      </c>
      <c r="C98" s="132">
        <v>5000.0</v>
      </c>
      <c r="D98" s="112">
        <v>2.0</v>
      </c>
      <c r="E98" s="109">
        <f t="shared" si="14"/>
        <v>10000</v>
      </c>
      <c r="F98" s="66"/>
      <c r="G98" s="127" t="s">
        <v>73</v>
      </c>
      <c r="H98" s="132">
        <v>4000.0</v>
      </c>
      <c r="I98" s="112">
        <v>2.0</v>
      </c>
      <c r="J98" s="109">
        <f t="shared" si="16"/>
        <v>8000</v>
      </c>
      <c r="K98" s="1"/>
      <c r="L98" s="127" t="s">
        <v>73</v>
      </c>
      <c r="M98" s="132">
        <v>3000.0</v>
      </c>
      <c r="N98" s="112">
        <v>2.0</v>
      </c>
      <c r="O98" s="130">
        <f t="shared" si="17"/>
        <v>6000</v>
      </c>
      <c r="P98" s="1"/>
    </row>
    <row r="99" ht="13.5" customHeight="1">
      <c r="A99" s="1"/>
      <c r="B99" s="127" t="s">
        <v>74</v>
      </c>
      <c r="C99" s="132">
        <v>10000.0</v>
      </c>
      <c r="D99" s="112">
        <v>4.0</v>
      </c>
      <c r="E99" s="109">
        <f t="shared" si="14"/>
        <v>40000</v>
      </c>
      <c r="F99" s="66"/>
      <c r="G99" s="127" t="s">
        <v>74</v>
      </c>
      <c r="H99" s="132">
        <v>8000.0</v>
      </c>
      <c r="I99" s="112">
        <v>3.0</v>
      </c>
      <c r="J99" s="109">
        <f t="shared" si="16"/>
        <v>24000</v>
      </c>
      <c r="K99" s="1"/>
      <c r="L99" s="127" t="s">
        <v>74</v>
      </c>
      <c r="M99" s="132">
        <v>6500.0</v>
      </c>
      <c r="N99" s="112">
        <v>2.0</v>
      </c>
      <c r="O99" s="130">
        <f t="shared" si="17"/>
        <v>13000</v>
      </c>
      <c r="P99" s="1"/>
    </row>
    <row r="100" ht="13.5" customHeight="1">
      <c r="A100" s="1"/>
      <c r="B100" s="127" t="s">
        <v>75</v>
      </c>
      <c r="C100" s="132">
        <v>11000.0</v>
      </c>
      <c r="D100" s="112">
        <v>4.0</v>
      </c>
      <c r="E100" s="109">
        <f t="shared" si="14"/>
        <v>44000</v>
      </c>
      <c r="F100" s="66"/>
      <c r="G100" s="127" t="s">
        <v>75</v>
      </c>
      <c r="H100" s="132">
        <v>11000.0</v>
      </c>
      <c r="I100" s="112">
        <v>3.0</v>
      </c>
      <c r="J100" s="109">
        <f t="shared" si="16"/>
        <v>33000</v>
      </c>
      <c r="K100" s="1"/>
      <c r="L100" s="127" t="s">
        <v>75</v>
      </c>
      <c r="M100" s="132">
        <v>11000.0</v>
      </c>
      <c r="N100" s="112">
        <v>2.0</v>
      </c>
      <c r="O100" s="130">
        <f t="shared" si="17"/>
        <v>22000</v>
      </c>
      <c r="P100" s="1"/>
    </row>
    <row r="101" ht="13.5" customHeight="1">
      <c r="A101" s="1"/>
      <c r="B101" s="127" t="s">
        <v>76</v>
      </c>
      <c r="C101" s="132">
        <v>11000.0</v>
      </c>
      <c r="D101" s="112">
        <v>4.0</v>
      </c>
      <c r="E101" s="109">
        <f t="shared" si="14"/>
        <v>44000</v>
      </c>
      <c r="F101" s="66"/>
      <c r="G101" s="127" t="s">
        <v>76</v>
      </c>
      <c r="H101" s="132">
        <v>11000.0</v>
      </c>
      <c r="I101" s="112">
        <v>3.0</v>
      </c>
      <c r="J101" s="109">
        <f t="shared" si="16"/>
        <v>33000</v>
      </c>
      <c r="K101" s="1"/>
      <c r="L101" s="127" t="s">
        <v>76</v>
      </c>
      <c r="M101" s="132">
        <v>11000.0</v>
      </c>
      <c r="N101" s="112">
        <v>2.0</v>
      </c>
      <c r="O101" s="130">
        <f t="shared" si="17"/>
        <v>22000</v>
      </c>
      <c r="P101" s="1"/>
    </row>
    <row r="102" ht="13.5" customHeight="1">
      <c r="A102" s="1"/>
      <c r="B102" s="127" t="s">
        <v>77</v>
      </c>
      <c r="C102" s="132">
        <v>11000.0</v>
      </c>
      <c r="D102" s="112">
        <v>4.0</v>
      </c>
      <c r="E102" s="109">
        <f t="shared" si="14"/>
        <v>44000</v>
      </c>
      <c r="F102" s="66"/>
      <c r="G102" s="127" t="s">
        <v>77</v>
      </c>
      <c r="H102" s="132">
        <v>11000.0</v>
      </c>
      <c r="I102" s="112">
        <v>3.0</v>
      </c>
      <c r="J102" s="109">
        <f t="shared" si="16"/>
        <v>33000</v>
      </c>
      <c r="K102" s="1"/>
      <c r="L102" s="127" t="s">
        <v>77</v>
      </c>
      <c r="M102" s="132">
        <v>11000.0</v>
      </c>
      <c r="N102" s="112">
        <v>2.0</v>
      </c>
      <c r="O102" s="130">
        <f t="shared" si="17"/>
        <v>22000</v>
      </c>
      <c r="P102" s="1"/>
    </row>
    <row r="103" ht="13.5" customHeight="1">
      <c r="A103" s="1"/>
      <c r="B103" s="127" t="s">
        <v>78</v>
      </c>
      <c r="C103" s="132">
        <v>11000.0</v>
      </c>
      <c r="D103" s="112">
        <v>4.0</v>
      </c>
      <c r="E103" s="109">
        <f t="shared" si="14"/>
        <v>44000</v>
      </c>
      <c r="F103" s="66"/>
      <c r="G103" s="127" t="s">
        <v>78</v>
      </c>
      <c r="H103" s="132">
        <v>11000.0</v>
      </c>
      <c r="I103" s="112">
        <v>3.0</v>
      </c>
      <c r="J103" s="109">
        <f t="shared" si="16"/>
        <v>33000</v>
      </c>
      <c r="K103" s="1"/>
      <c r="L103" s="127" t="s">
        <v>78</v>
      </c>
      <c r="M103" s="132">
        <v>11000.0</v>
      </c>
      <c r="N103" s="112">
        <v>2.0</v>
      </c>
      <c r="O103" s="130">
        <f t="shared" si="17"/>
        <v>22000</v>
      </c>
      <c r="P103" s="1"/>
    </row>
    <row r="104" ht="13.5" customHeight="1">
      <c r="A104" s="1"/>
      <c r="B104" s="127" t="s">
        <v>79</v>
      </c>
      <c r="C104" s="132">
        <v>27000.0</v>
      </c>
      <c r="D104" s="112">
        <v>4.0</v>
      </c>
      <c r="E104" s="109">
        <f t="shared" si="14"/>
        <v>108000</v>
      </c>
      <c r="F104" s="66"/>
      <c r="G104" s="127" t="s">
        <v>79</v>
      </c>
      <c r="H104" s="132">
        <v>22000.0</v>
      </c>
      <c r="I104" s="112">
        <v>3.0</v>
      </c>
      <c r="J104" s="109">
        <f t="shared" si="16"/>
        <v>66000</v>
      </c>
      <c r="K104" s="1"/>
      <c r="L104" s="127" t="s">
        <v>79</v>
      </c>
      <c r="M104" s="132">
        <v>17000.0</v>
      </c>
      <c r="N104" s="112">
        <v>2.0</v>
      </c>
      <c r="O104" s="130">
        <f t="shared" si="17"/>
        <v>34000</v>
      </c>
      <c r="P104" s="1"/>
    </row>
    <row r="105" ht="13.5" customHeight="1">
      <c r="A105" s="1"/>
      <c r="B105" s="127" t="s">
        <v>80</v>
      </c>
      <c r="C105" s="132">
        <v>2000.0</v>
      </c>
      <c r="D105" s="112">
        <v>16.0</v>
      </c>
      <c r="E105" s="109">
        <f t="shared" si="14"/>
        <v>32000</v>
      </c>
      <c r="F105" s="66"/>
      <c r="G105" s="127" t="s">
        <v>80</v>
      </c>
      <c r="H105" s="132">
        <v>1650.0</v>
      </c>
      <c r="I105" s="112">
        <v>12.0</v>
      </c>
      <c r="J105" s="109">
        <f t="shared" si="16"/>
        <v>19800</v>
      </c>
      <c r="K105" s="1"/>
      <c r="L105" s="127" t="s">
        <v>80</v>
      </c>
      <c r="M105" s="132">
        <v>1287.0</v>
      </c>
      <c r="N105" s="112">
        <v>8.0</v>
      </c>
      <c r="O105" s="130">
        <f t="shared" si="17"/>
        <v>10296</v>
      </c>
      <c r="P105" s="1"/>
    </row>
    <row r="106" ht="13.5" customHeight="1">
      <c r="A106" s="1"/>
      <c r="B106" s="127" t="s">
        <v>81</v>
      </c>
      <c r="C106" s="132">
        <v>60000.0</v>
      </c>
      <c r="D106" s="112">
        <v>4.0</v>
      </c>
      <c r="E106" s="109">
        <f t="shared" si="14"/>
        <v>240000</v>
      </c>
      <c r="F106" s="66"/>
      <c r="G106" s="127" t="s">
        <v>81</v>
      </c>
      <c r="H106" s="132">
        <v>50000.0</v>
      </c>
      <c r="I106" s="112">
        <v>3.0</v>
      </c>
      <c r="J106" s="109">
        <f t="shared" si="16"/>
        <v>150000</v>
      </c>
      <c r="K106" s="1"/>
      <c r="L106" s="127" t="s">
        <v>81</v>
      </c>
      <c r="M106" s="132">
        <v>35000.0</v>
      </c>
      <c r="N106" s="112">
        <v>2.0</v>
      </c>
      <c r="O106" s="130">
        <f t="shared" si="17"/>
        <v>70000</v>
      </c>
      <c r="P106" s="1"/>
    </row>
    <row r="107" ht="13.5" customHeight="1">
      <c r="A107" s="1"/>
      <c r="B107" s="127" t="s">
        <v>82</v>
      </c>
      <c r="C107" s="132">
        <v>9600.0</v>
      </c>
      <c r="D107" s="112">
        <v>2.0</v>
      </c>
      <c r="E107" s="109">
        <f t="shared" si="14"/>
        <v>19200</v>
      </c>
      <c r="F107" s="66"/>
      <c r="G107" s="127" t="s">
        <v>82</v>
      </c>
      <c r="H107" s="132">
        <v>6749.0</v>
      </c>
      <c r="I107" s="112">
        <v>2.0</v>
      </c>
      <c r="J107" s="109">
        <f t="shared" si="16"/>
        <v>13498</v>
      </c>
      <c r="K107" s="1"/>
      <c r="L107" s="127" t="s">
        <v>82</v>
      </c>
      <c r="M107" s="132">
        <v>6620.0</v>
      </c>
      <c r="N107" s="112">
        <v>2.0</v>
      </c>
      <c r="O107" s="130">
        <f t="shared" si="17"/>
        <v>13240</v>
      </c>
      <c r="P107" s="1"/>
    </row>
    <row r="108" ht="13.5" customHeight="1">
      <c r="A108" s="1"/>
      <c r="B108" s="127" t="s">
        <v>83</v>
      </c>
      <c r="C108" s="132">
        <v>500.0</v>
      </c>
      <c r="D108" s="32">
        <v>323.0</v>
      </c>
      <c r="E108" s="109">
        <f t="shared" si="14"/>
        <v>161500</v>
      </c>
      <c r="F108" s="66"/>
      <c r="G108" s="127" t="s">
        <v>83</v>
      </c>
      <c r="H108" s="132">
        <v>300.0</v>
      </c>
      <c r="I108" s="112">
        <v>325.0</v>
      </c>
      <c r="J108" s="109">
        <f t="shared" si="16"/>
        <v>97500</v>
      </c>
      <c r="K108" s="1"/>
      <c r="L108" s="127" t="s">
        <v>83</v>
      </c>
      <c r="M108" s="132">
        <v>150.0</v>
      </c>
      <c r="N108" s="107">
        <v>330.0</v>
      </c>
      <c r="O108" s="130">
        <f t="shared" si="17"/>
        <v>49500</v>
      </c>
      <c r="P108" s="1"/>
    </row>
    <row r="109" ht="13.5" customHeight="1">
      <c r="A109" s="1"/>
      <c r="B109" s="127" t="s">
        <v>84</v>
      </c>
      <c r="C109" s="132">
        <v>50000.0</v>
      </c>
      <c r="D109" s="112">
        <v>1.0</v>
      </c>
      <c r="E109" s="109">
        <f t="shared" si="14"/>
        <v>50000</v>
      </c>
      <c r="F109" s="66" t="str">
        <f>G109</f>
        <v> Printing Placard NLF &amp; NLM</v>
      </c>
      <c r="G109" s="127" t="s">
        <v>84</v>
      </c>
      <c r="H109" s="132">
        <v>40000.0</v>
      </c>
      <c r="I109" s="112">
        <v>1.0</v>
      </c>
      <c r="J109" s="109">
        <f t="shared" si="16"/>
        <v>40000</v>
      </c>
      <c r="K109" s="1"/>
      <c r="L109" s="127" t="s">
        <v>84</v>
      </c>
      <c r="M109" s="132">
        <v>35000.0</v>
      </c>
      <c r="N109" s="112">
        <v>1.0</v>
      </c>
      <c r="O109" s="130">
        <f t="shared" si="17"/>
        <v>35000</v>
      </c>
      <c r="P109" s="1"/>
    </row>
    <row r="110" ht="18.75" customHeight="1">
      <c r="A110" s="4"/>
      <c r="B110" s="122" t="s">
        <v>56</v>
      </c>
      <c r="C110" s="87"/>
      <c r="D110" s="88"/>
      <c r="E110" s="123">
        <f>SUM(E82:E109)</f>
        <v>2060700</v>
      </c>
      <c r="F110" s="133" t="s">
        <v>85</v>
      </c>
      <c r="G110" s="122" t="s">
        <v>56</v>
      </c>
      <c r="H110" s="87"/>
      <c r="I110" s="88"/>
      <c r="J110" s="123">
        <f>SUM(J85:J109)</f>
        <v>1340798</v>
      </c>
      <c r="K110" s="4"/>
      <c r="L110" s="122" t="s">
        <v>56</v>
      </c>
      <c r="M110" s="87"/>
      <c r="N110" s="88"/>
      <c r="O110" s="123">
        <f>SUM(O85:O109)</f>
        <v>940036</v>
      </c>
      <c r="P110" s="1"/>
    </row>
    <row r="111" ht="15.0" customHeight="1">
      <c r="A111" s="1"/>
      <c r="B111" s="1"/>
      <c r="C111" s="96"/>
      <c r="D111" s="96"/>
      <c r="E111" s="1"/>
      <c r="F111" s="66"/>
      <c r="G111" s="96"/>
      <c r="H111" s="96"/>
      <c r="I111" s="96"/>
      <c r="J111" s="96"/>
      <c r="K111" s="1"/>
      <c r="L111" s="96"/>
      <c r="M111" s="96"/>
      <c r="N111" s="96"/>
      <c r="O111" s="96"/>
      <c r="P111" s="1"/>
    </row>
    <row r="112" ht="24.0" customHeight="1">
      <c r="A112" s="1"/>
      <c r="B112" s="102" t="str">
        <f>'🏦COVER🏦'!D13</f>
        <v>#REF!</v>
      </c>
      <c r="C112" s="103" t="s">
        <v>5</v>
      </c>
      <c r="D112" s="103" t="s">
        <v>6</v>
      </c>
      <c r="E112" s="104" t="s">
        <v>7</v>
      </c>
      <c r="F112" s="72"/>
      <c r="G112" s="134" t="str">
        <f>B112</f>
        <v>#REF!</v>
      </c>
      <c r="H112" s="103" t="s">
        <v>5</v>
      </c>
      <c r="I112" s="103" t="s">
        <v>6</v>
      </c>
      <c r="J112" s="103" t="s">
        <v>7</v>
      </c>
      <c r="K112" s="16"/>
      <c r="L112" s="134" t="str">
        <f>B112</f>
        <v>#REF!</v>
      </c>
      <c r="M112" s="103" t="s">
        <v>5</v>
      </c>
      <c r="N112" s="103" t="s">
        <v>6</v>
      </c>
      <c r="O112" s="103" t="s">
        <v>7</v>
      </c>
      <c r="P112" s="135"/>
    </row>
    <row r="113" ht="15.75" customHeight="1">
      <c r="A113" s="4"/>
      <c r="B113" s="105" t="s">
        <v>86</v>
      </c>
      <c r="C113" s="131">
        <v>1349.0</v>
      </c>
      <c r="D113" s="32">
        <v>323.0</v>
      </c>
      <c r="E113" s="108">
        <f t="shared" ref="E113:E131" si="18">C113*D113</f>
        <v>435727</v>
      </c>
      <c r="F113" s="72" t="str">
        <f t="shared" ref="F113:F121" si="19">G113</f>
        <v>Delegates ID Card</v>
      </c>
      <c r="G113" s="105" t="s">
        <v>86</v>
      </c>
      <c r="H113" s="136">
        <v>955.0</v>
      </c>
      <c r="I113" s="112">
        <v>325.0</v>
      </c>
      <c r="J113" s="137">
        <f t="shared" ref="J113:J131" si="20">H113*I113</f>
        <v>310375</v>
      </c>
      <c r="K113" s="16"/>
      <c r="L113" s="105" t="s">
        <v>86</v>
      </c>
      <c r="M113" s="136">
        <v>952.0</v>
      </c>
      <c r="N113" s="107">
        <v>330.0</v>
      </c>
      <c r="O113" s="137">
        <f t="shared" ref="O113:O131" si="21">M113*N113</f>
        <v>314160</v>
      </c>
      <c r="P113" s="100"/>
    </row>
    <row r="114" ht="15.75" customHeight="1">
      <c r="A114" s="1"/>
      <c r="B114" s="110" t="s">
        <v>87</v>
      </c>
      <c r="C114" s="131">
        <v>27660.0</v>
      </c>
      <c r="D114" s="107">
        <v>4.0</v>
      </c>
      <c r="E114" s="111">
        <f t="shared" si="18"/>
        <v>110640</v>
      </c>
      <c r="F114" s="66" t="str">
        <f t="shared" si="19"/>
        <v>Sugarcubes Envelope (100 pcs)</v>
      </c>
      <c r="G114" s="110" t="s">
        <v>87</v>
      </c>
      <c r="H114" s="131">
        <v>22500.0</v>
      </c>
      <c r="I114" s="107">
        <v>4.0</v>
      </c>
      <c r="J114" s="111">
        <f t="shared" si="20"/>
        <v>90000</v>
      </c>
      <c r="K114" s="4"/>
      <c r="L114" s="110" t="s">
        <v>87</v>
      </c>
      <c r="M114" s="131">
        <v>22000.0</v>
      </c>
      <c r="N114" s="107">
        <v>4.0</v>
      </c>
      <c r="O114" s="111">
        <f t="shared" si="21"/>
        <v>88000</v>
      </c>
      <c r="P114" s="1"/>
    </row>
    <row r="115" ht="15.75" customHeight="1">
      <c r="A115" s="1"/>
      <c r="B115" s="110" t="s">
        <v>88</v>
      </c>
      <c r="C115" s="131">
        <v>15000.0</v>
      </c>
      <c r="D115" s="32">
        <v>323.0</v>
      </c>
      <c r="E115" s="111">
        <f t="shared" si="18"/>
        <v>4845000</v>
      </c>
      <c r="F115" s="66" t="str">
        <f t="shared" si="19"/>
        <v>Delegates Kit</v>
      </c>
      <c r="G115" s="110" t="s">
        <v>88</v>
      </c>
      <c r="H115" s="131">
        <v>10000.0</v>
      </c>
      <c r="I115" s="112">
        <v>325.0</v>
      </c>
      <c r="J115" s="111">
        <f t="shared" si="20"/>
        <v>3250000</v>
      </c>
      <c r="K115" s="1"/>
      <c r="L115" s="110" t="s">
        <v>88</v>
      </c>
      <c r="M115" s="131">
        <v>5000.0</v>
      </c>
      <c r="N115" s="107">
        <v>330.0</v>
      </c>
      <c r="O115" s="111">
        <f t="shared" si="21"/>
        <v>1650000</v>
      </c>
      <c r="P115" s="1"/>
    </row>
    <row r="116" ht="15.75" customHeight="1">
      <c r="A116" s="1"/>
      <c r="B116" s="110" t="s">
        <v>89</v>
      </c>
      <c r="C116" s="131">
        <v>11681.0</v>
      </c>
      <c r="D116" s="107">
        <v>1.0</v>
      </c>
      <c r="E116" s="111">
        <f t="shared" si="18"/>
        <v>11681</v>
      </c>
      <c r="F116" s="66" t="str">
        <f t="shared" si="19"/>
        <v>[Medicine] Mylanta </v>
      </c>
      <c r="G116" s="110" t="s">
        <v>89</v>
      </c>
      <c r="H116" s="131">
        <v>10700.0</v>
      </c>
      <c r="I116" s="107">
        <v>1.0</v>
      </c>
      <c r="J116" s="111">
        <f t="shared" si="20"/>
        <v>10700</v>
      </c>
      <c r="K116" s="1"/>
      <c r="L116" s="110" t="s">
        <v>89</v>
      </c>
      <c r="M116" s="131">
        <v>10000.0</v>
      </c>
      <c r="N116" s="107">
        <v>1.0</v>
      </c>
      <c r="O116" s="111">
        <f t="shared" si="21"/>
        <v>10000</v>
      </c>
      <c r="P116" s="1"/>
    </row>
    <row r="117" ht="15.75" customHeight="1">
      <c r="A117" s="1"/>
      <c r="B117" s="110" t="s">
        <v>90</v>
      </c>
      <c r="C117" s="131">
        <v>4500.0</v>
      </c>
      <c r="D117" s="107">
        <v>4.0</v>
      </c>
      <c r="E117" s="111">
        <f t="shared" si="18"/>
        <v>18000</v>
      </c>
      <c r="F117" s="66" t="str">
        <f t="shared" si="19"/>
        <v>[Medicine] Sanmol</v>
      </c>
      <c r="G117" s="110" t="s">
        <v>90</v>
      </c>
      <c r="H117" s="131">
        <v>2500.0</v>
      </c>
      <c r="I117" s="107">
        <v>4.0</v>
      </c>
      <c r="J117" s="111">
        <f t="shared" si="20"/>
        <v>10000</v>
      </c>
      <c r="K117" s="1"/>
      <c r="L117" s="110" t="s">
        <v>90</v>
      </c>
      <c r="M117" s="131">
        <v>2000.0</v>
      </c>
      <c r="N117" s="107">
        <v>4.0</v>
      </c>
      <c r="O117" s="111">
        <f t="shared" si="21"/>
        <v>8000</v>
      </c>
      <c r="P117" s="1"/>
    </row>
    <row r="118" ht="15.75" customHeight="1">
      <c r="A118" s="1"/>
      <c r="B118" s="110" t="s">
        <v>91</v>
      </c>
      <c r="C118" s="131">
        <v>63700.0</v>
      </c>
      <c r="D118" s="107">
        <v>1.0</v>
      </c>
      <c r="E118" s="111">
        <f t="shared" si="18"/>
        <v>63700</v>
      </c>
      <c r="F118" s="66" t="str">
        <f t="shared" si="19"/>
        <v>[Medicine] Tolak Angin </v>
      </c>
      <c r="G118" s="110" t="s">
        <v>91</v>
      </c>
      <c r="H118" s="131">
        <v>57950.0</v>
      </c>
      <c r="I118" s="107">
        <v>1.0</v>
      </c>
      <c r="J118" s="111">
        <f t="shared" si="20"/>
        <v>57950</v>
      </c>
      <c r="K118" s="1"/>
      <c r="L118" s="110" t="s">
        <v>91</v>
      </c>
      <c r="M118" s="131">
        <v>55000.0</v>
      </c>
      <c r="N118" s="107">
        <v>1.0</v>
      </c>
      <c r="O118" s="111">
        <f t="shared" si="21"/>
        <v>55000</v>
      </c>
      <c r="P118" s="1"/>
    </row>
    <row r="119" ht="15.75" customHeight="1">
      <c r="A119" s="1"/>
      <c r="B119" s="110" t="s">
        <v>92</v>
      </c>
      <c r="C119" s="131">
        <v>16600.0</v>
      </c>
      <c r="D119" s="107">
        <v>1.0</v>
      </c>
      <c r="E119" s="109">
        <f t="shared" si="18"/>
        <v>16600</v>
      </c>
      <c r="F119" s="66" t="str">
        <f t="shared" si="19"/>
        <v>[Medicine] Minyak Kayu Putih (S)</v>
      </c>
      <c r="G119" s="110" t="s">
        <v>92</v>
      </c>
      <c r="H119" s="131">
        <v>14000.0</v>
      </c>
      <c r="I119" s="107">
        <v>1.0</v>
      </c>
      <c r="J119" s="109">
        <f t="shared" si="20"/>
        <v>14000</v>
      </c>
      <c r="K119" s="1"/>
      <c r="L119" s="110" t="s">
        <v>92</v>
      </c>
      <c r="M119" s="131">
        <v>13794.0</v>
      </c>
      <c r="N119" s="107">
        <v>1.0</v>
      </c>
      <c r="O119" s="138">
        <f t="shared" si="21"/>
        <v>13794</v>
      </c>
      <c r="P119" s="1"/>
    </row>
    <row r="120" ht="15.75" customHeight="1">
      <c r="A120" s="1"/>
      <c r="B120" s="110" t="s">
        <v>93</v>
      </c>
      <c r="C120" s="131">
        <v>15300.0</v>
      </c>
      <c r="D120" s="107">
        <v>1.0</v>
      </c>
      <c r="E120" s="109">
        <f t="shared" si="18"/>
        <v>15300</v>
      </c>
      <c r="F120" s="66" t="str">
        <f t="shared" si="19"/>
        <v>[Medicine] Decolgen FX</v>
      </c>
      <c r="G120" s="110" t="s">
        <v>93</v>
      </c>
      <c r="H120" s="131">
        <v>15200.0</v>
      </c>
      <c r="I120" s="107">
        <v>1.0</v>
      </c>
      <c r="J120" s="109">
        <f t="shared" si="20"/>
        <v>15200</v>
      </c>
      <c r="K120" s="1"/>
      <c r="L120" s="110" t="s">
        <v>93</v>
      </c>
      <c r="M120" s="131">
        <v>13800.0</v>
      </c>
      <c r="N120" s="107">
        <v>1.0</v>
      </c>
      <c r="O120" s="138">
        <f t="shared" si="21"/>
        <v>13800</v>
      </c>
      <c r="P120" s="1"/>
    </row>
    <row r="121" ht="15.75" customHeight="1">
      <c r="A121" s="1"/>
      <c r="B121" s="110" t="s">
        <v>94</v>
      </c>
      <c r="C121" s="131">
        <v>15500.0</v>
      </c>
      <c r="D121" s="107">
        <v>2.0</v>
      </c>
      <c r="E121" s="109">
        <f t="shared" si="18"/>
        <v>31000</v>
      </c>
      <c r="F121" s="66" t="str">
        <f t="shared" si="19"/>
        <v>[Medicine] Hansaplast </v>
      </c>
      <c r="G121" s="110" t="s">
        <v>94</v>
      </c>
      <c r="H121" s="131">
        <v>11572.0</v>
      </c>
      <c r="I121" s="107">
        <v>2.0</v>
      </c>
      <c r="J121" s="109">
        <f t="shared" si="20"/>
        <v>23144</v>
      </c>
      <c r="K121" s="1"/>
      <c r="L121" s="110" t="s">
        <v>94</v>
      </c>
      <c r="M121" s="131">
        <v>10900.0</v>
      </c>
      <c r="N121" s="107">
        <v>2.0</v>
      </c>
      <c r="O121" s="138">
        <f t="shared" si="21"/>
        <v>21800</v>
      </c>
      <c r="P121" s="1"/>
    </row>
    <row r="122" ht="15.75" customHeight="1">
      <c r="A122" s="1"/>
      <c r="B122" s="110" t="s">
        <v>95</v>
      </c>
      <c r="C122" s="131">
        <v>24150.0</v>
      </c>
      <c r="D122" s="107">
        <v>1.0</v>
      </c>
      <c r="E122" s="109">
        <f t="shared" si="18"/>
        <v>24150</v>
      </c>
      <c r="F122" s="66"/>
      <c r="G122" s="110" t="s">
        <v>95</v>
      </c>
      <c r="H122" s="131">
        <v>20778.0</v>
      </c>
      <c r="I122" s="107">
        <v>1.0</v>
      </c>
      <c r="J122" s="109">
        <f t="shared" si="20"/>
        <v>20778</v>
      </c>
      <c r="K122" s="1"/>
      <c r="L122" s="110" t="s">
        <v>95</v>
      </c>
      <c r="M122" s="131">
        <v>18663.0</v>
      </c>
      <c r="N122" s="107">
        <v>1.0</v>
      </c>
      <c r="O122" s="138">
        <f t="shared" si="21"/>
        <v>18663</v>
      </c>
      <c r="P122" s="1"/>
    </row>
    <row r="123" ht="15.75" customHeight="1">
      <c r="A123" s="1"/>
      <c r="B123" s="110" t="s">
        <v>96</v>
      </c>
      <c r="C123" s="131">
        <v>10000.0</v>
      </c>
      <c r="D123" s="107">
        <v>1.0</v>
      </c>
      <c r="E123" s="109">
        <f t="shared" si="18"/>
        <v>10000</v>
      </c>
      <c r="F123" s="66"/>
      <c r="G123" s="110" t="s">
        <v>96</v>
      </c>
      <c r="H123" s="131">
        <v>9257.0</v>
      </c>
      <c r="I123" s="107">
        <v>1.0</v>
      </c>
      <c r="J123" s="109">
        <f t="shared" si="20"/>
        <v>9257</v>
      </c>
      <c r="K123" s="1"/>
      <c r="L123" s="110" t="s">
        <v>96</v>
      </c>
      <c r="M123" s="131">
        <v>8500.0</v>
      </c>
      <c r="N123" s="107">
        <v>1.0</v>
      </c>
      <c r="O123" s="138">
        <f t="shared" si="21"/>
        <v>8500</v>
      </c>
      <c r="P123" s="1"/>
    </row>
    <row r="124" ht="15.75" customHeight="1">
      <c r="A124" s="1"/>
      <c r="B124" s="110" t="s">
        <v>97</v>
      </c>
      <c r="C124" s="131">
        <v>15895.0</v>
      </c>
      <c r="D124" s="107">
        <v>1.0</v>
      </c>
      <c r="E124" s="109">
        <f t="shared" si="18"/>
        <v>15895</v>
      </c>
      <c r="F124" s="66"/>
      <c r="G124" s="110" t="s">
        <v>97</v>
      </c>
      <c r="H124" s="131">
        <v>15043.0</v>
      </c>
      <c r="I124" s="107">
        <v>1.0</v>
      </c>
      <c r="J124" s="109">
        <f t="shared" si="20"/>
        <v>15043</v>
      </c>
      <c r="K124" s="1"/>
      <c r="L124" s="110" t="s">
        <v>97</v>
      </c>
      <c r="M124" s="131">
        <v>14690.0</v>
      </c>
      <c r="N124" s="107">
        <v>1.0</v>
      </c>
      <c r="O124" s="138">
        <f t="shared" si="21"/>
        <v>14690</v>
      </c>
      <c r="P124" s="1"/>
    </row>
    <row r="125" ht="15.75" customHeight="1">
      <c r="A125" s="1"/>
      <c r="B125" s="110" t="s">
        <v>98</v>
      </c>
      <c r="C125" s="131">
        <v>31510.0</v>
      </c>
      <c r="D125" s="107">
        <v>2.0</v>
      </c>
      <c r="E125" s="109">
        <f t="shared" si="18"/>
        <v>63020</v>
      </c>
      <c r="F125" s="66"/>
      <c r="G125" s="110" t="s">
        <v>98</v>
      </c>
      <c r="H125" s="131">
        <v>29000.0</v>
      </c>
      <c r="I125" s="107">
        <v>2.0</v>
      </c>
      <c r="J125" s="109">
        <f t="shared" si="20"/>
        <v>58000</v>
      </c>
      <c r="K125" s="1"/>
      <c r="L125" s="110" t="s">
        <v>98</v>
      </c>
      <c r="M125" s="131">
        <v>28400.0</v>
      </c>
      <c r="N125" s="107">
        <v>2.0</v>
      </c>
      <c r="O125" s="138">
        <f t="shared" si="21"/>
        <v>56800</v>
      </c>
      <c r="P125" s="1"/>
    </row>
    <row r="126" ht="15.75" customHeight="1">
      <c r="A126" s="1"/>
      <c r="B126" s="110" t="s">
        <v>99</v>
      </c>
      <c r="C126" s="131">
        <v>8500.0</v>
      </c>
      <c r="D126" s="107">
        <v>5.0</v>
      </c>
      <c r="E126" s="109">
        <f t="shared" si="18"/>
        <v>42500</v>
      </c>
      <c r="F126" s="66"/>
      <c r="G126" s="110" t="s">
        <v>99</v>
      </c>
      <c r="H126" s="131">
        <v>6125.0</v>
      </c>
      <c r="I126" s="107">
        <v>5.0</v>
      </c>
      <c r="J126" s="109">
        <f t="shared" si="20"/>
        <v>30625</v>
      </c>
      <c r="K126" s="1"/>
      <c r="L126" s="110" t="s">
        <v>99</v>
      </c>
      <c r="M126" s="131">
        <v>6000.0</v>
      </c>
      <c r="N126" s="107">
        <v>5.0</v>
      </c>
      <c r="O126" s="138">
        <f t="shared" si="21"/>
        <v>30000</v>
      </c>
      <c r="P126" s="1"/>
    </row>
    <row r="127" ht="15.75" customHeight="1">
      <c r="A127" s="1"/>
      <c r="B127" s="110" t="s">
        <v>100</v>
      </c>
      <c r="C127" s="131">
        <v>3000.0</v>
      </c>
      <c r="D127" s="107">
        <v>40.0</v>
      </c>
      <c r="E127" s="109">
        <f t="shared" si="18"/>
        <v>120000</v>
      </c>
      <c r="F127" s="66"/>
      <c r="G127" s="110" t="s">
        <v>100</v>
      </c>
      <c r="H127" s="131">
        <v>2000.0</v>
      </c>
      <c r="I127" s="107">
        <v>45.0</v>
      </c>
      <c r="J127" s="109">
        <f t="shared" si="20"/>
        <v>90000</v>
      </c>
      <c r="K127" s="1"/>
      <c r="L127" s="110" t="s">
        <v>100</v>
      </c>
      <c r="M127" s="131">
        <v>1500.0</v>
      </c>
      <c r="N127" s="107">
        <v>50.0</v>
      </c>
      <c r="O127" s="138">
        <f t="shared" si="21"/>
        <v>75000</v>
      </c>
      <c r="P127" s="1"/>
    </row>
    <row r="128" ht="15.75" customHeight="1">
      <c r="A128" s="1"/>
      <c r="B128" s="110" t="s">
        <v>101</v>
      </c>
      <c r="C128" s="131">
        <v>3000.0</v>
      </c>
      <c r="D128" s="107">
        <v>80.0</v>
      </c>
      <c r="E128" s="109">
        <f t="shared" si="18"/>
        <v>240000</v>
      </c>
      <c r="F128" s="66"/>
      <c r="G128" s="110" t="s">
        <v>101</v>
      </c>
      <c r="H128" s="131">
        <v>2000.0</v>
      </c>
      <c r="I128" s="107">
        <v>82.0</v>
      </c>
      <c r="J128" s="109">
        <f t="shared" si="20"/>
        <v>164000</v>
      </c>
      <c r="K128" s="1"/>
      <c r="L128" s="110" t="s">
        <v>101</v>
      </c>
      <c r="M128" s="131">
        <v>1500.0</v>
      </c>
      <c r="N128" s="107">
        <v>85.0</v>
      </c>
      <c r="O128" s="138">
        <f t="shared" si="21"/>
        <v>127500</v>
      </c>
      <c r="P128" s="1"/>
    </row>
    <row r="129" ht="15.75" customHeight="1">
      <c r="A129" s="1"/>
      <c r="B129" s="110" t="s">
        <v>102</v>
      </c>
      <c r="C129" s="131">
        <v>6000.0</v>
      </c>
      <c r="D129" s="107">
        <v>3.0</v>
      </c>
      <c r="E129" s="109">
        <f t="shared" si="18"/>
        <v>18000</v>
      </c>
      <c r="F129" s="66"/>
      <c r="G129" s="110" t="s">
        <v>102</v>
      </c>
      <c r="H129" s="131">
        <v>5000.0</v>
      </c>
      <c r="I129" s="107">
        <v>3.0</v>
      </c>
      <c r="J129" s="109">
        <f t="shared" si="20"/>
        <v>15000</v>
      </c>
      <c r="K129" s="1"/>
      <c r="L129" s="110" t="s">
        <v>102</v>
      </c>
      <c r="M129" s="131">
        <v>4000.0</v>
      </c>
      <c r="N129" s="107">
        <v>3.0</v>
      </c>
      <c r="O129" s="138">
        <f t="shared" si="21"/>
        <v>12000</v>
      </c>
      <c r="P129" s="1"/>
    </row>
    <row r="130" ht="15.75" customHeight="1">
      <c r="A130" s="1"/>
      <c r="B130" s="110" t="s">
        <v>103</v>
      </c>
      <c r="C130" s="131">
        <v>12000.0</v>
      </c>
      <c r="D130" s="107">
        <v>3.0</v>
      </c>
      <c r="E130" s="109">
        <f t="shared" si="18"/>
        <v>36000</v>
      </c>
      <c r="F130" s="66"/>
      <c r="G130" s="110" t="s">
        <v>103</v>
      </c>
      <c r="H130" s="131">
        <v>10000.0</v>
      </c>
      <c r="I130" s="107">
        <v>3.0</v>
      </c>
      <c r="J130" s="109">
        <f t="shared" si="20"/>
        <v>30000</v>
      </c>
      <c r="K130" s="1"/>
      <c r="L130" s="110" t="s">
        <v>103</v>
      </c>
      <c r="M130" s="131">
        <v>8000.0</v>
      </c>
      <c r="N130" s="107">
        <v>3.0</v>
      </c>
      <c r="O130" s="138">
        <f t="shared" si="21"/>
        <v>24000</v>
      </c>
      <c r="P130" s="1"/>
    </row>
    <row r="131" ht="15.75" customHeight="1">
      <c r="A131" s="1"/>
      <c r="B131" s="110" t="s">
        <v>104</v>
      </c>
      <c r="C131" s="131">
        <v>50000.0</v>
      </c>
      <c r="D131" s="107">
        <v>3.0</v>
      </c>
      <c r="E131" s="109">
        <f t="shared" si="18"/>
        <v>150000</v>
      </c>
      <c r="F131" s="66"/>
      <c r="G131" s="110" t="s">
        <v>104</v>
      </c>
      <c r="H131" s="131">
        <v>40000.0</v>
      </c>
      <c r="I131" s="107">
        <v>3.0</v>
      </c>
      <c r="J131" s="109">
        <f t="shared" si="20"/>
        <v>120000</v>
      </c>
      <c r="K131" s="1"/>
      <c r="L131" s="110" t="s">
        <v>104</v>
      </c>
      <c r="M131" s="131">
        <v>30000.0</v>
      </c>
      <c r="N131" s="107">
        <v>3.0</v>
      </c>
      <c r="O131" s="138">
        <f t="shared" si="21"/>
        <v>90000</v>
      </c>
      <c r="P131" s="1"/>
    </row>
    <row r="132" ht="18.75" customHeight="1">
      <c r="A132" s="4"/>
      <c r="B132" s="122" t="s">
        <v>56</v>
      </c>
      <c r="C132" s="87"/>
      <c r="D132" s="88"/>
      <c r="E132" s="123">
        <f>SUM(E113:E131)</f>
        <v>6267213</v>
      </c>
      <c r="F132" s="72"/>
      <c r="G132" s="122" t="s">
        <v>56</v>
      </c>
      <c r="H132" s="87"/>
      <c r="I132" s="88"/>
      <c r="J132" s="123">
        <f>SUM(J113:J131)</f>
        <v>4334072</v>
      </c>
      <c r="K132" s="4"/>
      <c r="L132" s="122" t="s">
        <v>56</v>
      </c>
      <c r="M132" s="87"/>
      <c r="N132" s="88"/>
      <c r="O132" s="123">
        <f>SUM(O113:O131)</f>
        <v>2631707</v>
      </c>
      <c r="P132" s="1"/>
    </row>
    <row r="133" ht="17.25" customHeight="1">
      <c r="A133" s="1"/>
      <c r="B133" s="97"/>
      <c r="C133" s="96"/>
      <c r="D133" s="96"/>
      <c r="E133" s="96"/>
      <c r="F133" s="66"/>
      <c r="G133" s="97"/>
      <c r="H133" s="96"/>
      <c r="I133" s="96"/>
      <c r="J133" s="96"/>
      <c r="K133" s="1"/>
      <c r="L133" s="97"/>
      <c r="M133" s="96"/>
      <c r="N133" s="96"/>
      <c r="O133" s="96"/>
      <c r="P133" s="1"/>
    </row>
    <row r="134" ht="24.0" customHeight="1">
      <c r="A134" s="4"/>
      <c r="B134" s="139" t="str">
        <f>'🏦COVER🏦'!D14</f>
        <v>#REF!</v>
      </c>
      <c r="C134" s="140" t="s">
        <v>5</v>
      </c>
      <c r="D134" s="140" t="s">
        <v>6</v>
      </c>
      <c r="E134" s="140" t="s">
        <v>7</v>
      </c>
      <c r="F134" s="141"/>
      <c r="G134" s="134" t="str">
        <f>B134</f>
        <v>#REF!</v>
      </c>
      <c r="H134" s="103" t="s">
        <v>5</v>
      </c>
      <c r="I134" s="103" t="s">
        <v>6</v>
      </c>
      <c r="J134" s="103" t="s">
        <v>7</v>
      </c>
      <c r="K134" s="16"/>
      <c r="L134" s="134" t="str">
        <f>B134</f>
        <v>#REF!</v>
      </c>
      <c r="M134" s="103" t="s">
        <v>5</v>
      </c>
      <c r="N134" s="103" t="s">
        <v>6</v>
      </c>
      <c r="O134" s="103" t="s">
        <v>7</v>
      </c>
      <c r="P134" s="135"/>
    </row>
    <row r="135" ht="15.0" customHeight="1">
      <c r="A135" s="4"/>
      <c r="B135" s="142" t="s">
        <v>105</v>
      </c>
      <c r="C135" s="106">
        <v>11000.0</v>
      </c>
      <c r="D135" s="143">
        <v>12.0</v>
      </c>
      <c r="E135" s="144">
        <f t="shared" ref="E135:E146" si="22">C135*D135</f>
        <v>132000</v>
      </c>
      <c r="F135" s="141" t="str">
        <f t="shared" ref="F135:F142" si="23">G135</f>
        <v>Stamp Duty (E-Materai) </v>
      </c>
      <c r="G135" s="176" t="s">
        <v>105</v>
      </c>
      <c r="H135" s="136">
        <v>11000.0</v>
      </c>
      <c r="I135" s="145">
        <v>10.0</v>
      </c>
      <c r="J135" s="137">
        <f t="shared" ref="J135:J146" si="24">H135*I135</f>
        <v>110000</v>
      </c>
      <c r="K135" s="146"/>
      <c r="L135" s="176" t="s">
        <v>105</v>
      </c>
      <c r="M135" s="131">
        <v>11000.0</v>
      </c>
      <c r="N135" s="107">
        <v>8.0</v>
      </c>
      <c r="O135" s="111">
        <f t="shared" ref="O135:O146" si="25">M135*N135</f>
        <v>88000</v>
      </c>
      <c r="P135" s="147"/>
    </row>
    <row r="136" ht="15.0" customHeight="1">
      <c r="A136" s="4"/>
      <c r="B136" s="148" t="s">
        <v>151</v>
      </c>
      <c r="C136" s="131">
        <v>12000.0</v>
      </c>
      <c r="D136" s="107">
        <v>10.0</v>
      </c>
      <c r="E136" s="149">
        <f t="shared" si="22"/>
        <v>120000</v>
      </c>
      <c r="F136" s="66" t="str">
        <f t="shared" si="23"/>
        <v> Stamp Duty (Materai Fisik)</v>
      </c>
      <c r="G136" s="148" t="s">
        <v>151</v>
      </c>
      <c r="H136" s="131">
        <v>12000.0</v>
      </c>
      <c r="I136" s="107">
        <v>7.0</v>
      </c>
      <c r="J136" s="150">
        <f t="shared" si="24"/>
        <v>84000</v>
      </c>
      <c r="K136" s="151"/>
      <c r="L136" s="148" t="s">
        <v>151</v>
      </c>
      <c r="M136" s="131">
        <v>12000.0</v>
      </c>
      <c r="N136" s="107">
        <v>5.0</v>
      </c>
      <c r="O136" s="111">
        <f t="shared" si="25"/>
        <v>60000</v>
      </c>
      <c r="P136" s="147"/>
    </row>
    <row r="137" ht="15.0" customHeight="1">
      <c r="A137" s="1"/>
      <c r="B137" s="148" t="s">
        <v>107</v>
      </c>
      <c r="C137" s="131">
        <v>27000.0</v>
      </c>
      <c r="D137" s="107">
        <v>3.0</v>
      </c>
      <c r="E137" s="109">
        <f t="shared" si="22"/>
        <v>81000</v>
      </c>
      <c r="F137" s="66" t="str">
        <f t="shared" si="23"/>
        <v> Hardcopy Proposal</v>
      </c>
      <c r="G137" s="148" t="s">
        <v>152</v>
      </c>
      <c r="H137" s="131">
        <v>22000.0</v>
      </c>
      <c r="I137" s="107">
        <v>3.0</v>
      </c>
      <c r="J137" s="109">
        <f t="shared" si="24"/>
        <v>66000</v>
      </c>
      <c r="K137" s="151"/>
      <c r="L137" s="148" t="s">
        <v>152</v>
      </c>
      <c r="M137" s="131">
        <v>17000.0</v>
      </c>
      <c r="N137" s="107">
        <v>3.0</v>
      </c>
      <c r="O137" s="109">
        <f t="shared" si="25"/>
        <v>51000</v>
      </c>
      <c r="P137" s="147"/>
    </row>
    <row r="138" ht="15.0" customHeight="1">
      <c r="A138" s="1"/>
      <c r="B138" s="148" t="s">
        <v>108</v>
      </c>
      <c r="C138" s="131">
        <v>16000.0</v>
      </c>
      <c r="D138" s="107">
        <v>18.0</v>
      </c>
      <c r="E138" s="109">
        <f t="shared" si="22"/>
        <v>288000</v>
      </c>
      <c r="F138" s="66" t="str">
        <f t="shared" si="23"/>
        <v> Hardcopy LoA</v>
      </c>
      <c r="G138" s="148" t="s">
        <v>153</v>
      </c>
      <c r="H138" s="131">
        <v>16000.0</v>
      </c>
      <c r="I138" s="107">
        <v>15.0</v>
      </c>
      <c r="J138" s="109">
        <f t="shared" si="24"/>
        <v>240000</v>
      </c>
      <c r="K138" s="147"/>
      <c r="L138" s="148" t="s">
        <v>153</v>
      </c>
      <c r="M138" s="131">
        <v>16000.0</v>
      </c>
      <c r="N138" s="107">
        <v>12.0</v>
      </c>
      <c r="O138" s="109">
        <f t="shared" si="25"/>
        <v>192000</v>
      </c>
      <c r="P138" s="147"/>
    </row>
    <row r="139" ht="15.0" customHeight="1">
      <c r="A139" s="1"/>
      <c r="B139" s="148" t="s">
        <v>109</v>
      </c>
      <c r="C139" s="131">
        <v>1000.0</v>
      </c>
      <c r="D139" s="112">
        <v>6.0</v>
      </c>
      <c r="E139" s="109">
        <f t="shared" si="22"/>
        <v>6000</v>
      </c>
      <c r="F139" s="66" t="str">
        <f t="shared" si="23"/>
        <v> Hardcopy Invoice</v>
      </c>
      <c r="G139" s="148" t="s">
        <v>154</v>
      </c>
      <c r="H139" s="131">
        <v>1000.0</v>
      </c>
      <c r="I139" s="112">
        <v>4.0</v>
      </c>
      <c r="J139" s="109">
        <f t="shared" si="24"/>
        <v>4000</v>
      </c>
      <c r="K139" s="152"/>
      <c r="L139" s="148" t="s">
        <v>154</v>
      </c>
      <c r="M139" s="131">
        <v>1000.0</v>
      </c>
      <c r="N139" s="112">
        <v>2.0</v>
      </c>
      <c r="O139" s="109">
        <f t="shared" si="25"/>
        <v>2000</v>
      </c>
      <c r="P139" s="152"/>
    </row>
    <row r="140" ht="15.0" customHeight="1">
      <c r="A140" s="1"/>
      <c r="B140" s="148" t="s">
        <v>110</v>
      </c>
      <c r="C140" s="131">
        <v>20000.0</v>
      </c>
      <c r="D140" s="112">
        <v>7.0</v>
      </c>
      <c r="E140" s="109">
        <f t="shared" si="22"/>
        <v>140000</v>
      </c>
      <c r="F140" s="66" t="str">
        <f t="shared" si="23"/>
        <v> Shipping Fee</v>
      </c>
      <c r="G140" s="148" t="s">
        <v>155</v>
      </c>
      <c r="H140" s="131">
        <v>20000.0</v>
      </c>
      <c r="I140" s="112">
        <v>5.0</v>
      </c>
      <c r="J140" s="109">
        <f t="shared" si="24"/>
        <v>100000</v>
      </c>
      <c r="K140" s="152"/>
      <c r="L140" s="148" t="s">
        <v>155</v>
      </c>
      <c r="M140" s="131">
        <v>20000.0</v>
      </c>
      <c r="N140" s="112">
        <v>3.0</v>
      </c>
      <c r="O140" s="109">
        <f t="shared" si="25"/>
        <v>60000</v>
      </c>
      <c r="P140" s="152"/>
    </row>
    <row r="141" ht="15.0" customHeight="1">
      <c r="A141" s="1"/>
      <c r="B141" s="148" t="s">
        <v>111</v>
      </c>
      <c r="C141" s="153">
        <v>4000.0</v>
      </c>
      <c r="D141" s="112">
        <v>12.0</v>
      </c>
      <c r="E141" s="109">
        <f t="shared" si="22"/>
        <v>48000</v>
      </c>
      <c r="F141" s="66" t="str">
        <f t="shared" si="23"/>
        <v>Hardcopy Partnership Letter</v>
      </c>
      <c r="G141" s="148" t="s">
        <v>111</v>
      </c>
      <c r="H141" s="153">
        <v>4000.0</v>
      </c>
      <c r="I141" s="112">
        <v>10.0</v>
      </c>
      <c r="J141" s="109">
        <f t="shared" si="24"/>
        <v>40000</v>
      </c>
      <c r="K141" s="1"/>
      <c r="L141" s="148" t="s">
        <v>111</v>
      </c>
      <c r="M141" s="153">
        <v>4000.0</v>
      </c>
      <c r="N141" s="112">
        <v>8.0</v>
      </c>
      <c r="O141" s="109">
        <f t="shared" si="25"/>
        <v>32000</v>
      </c>
      <c r="P141" s="1"/>
    </row>
    <row r="142" ht="15.0" customHeight="1">
      <c r="A142" s="1"/>
      <c r="B142" s="148" t="s">
        <v>112</v>
      </c>
      <c r="C142" s="154">
        <v>48000.0</v>
      </c>
      <c r="D142" s="155">
        <v>1.0</v>
      </c>
      <c r="E142" s="109">
        <f t="shared" si="22"/>
        <v>48000</v>
      </c>
      <c r="F142" s="66" t="str">
        <f t="shared" si="23"/>
        <v>Mineral Water bottle</v>
      </c>
      <c r="G142" s="148" t="s">
        <v>112</v>
      </c>
      <c r="H142" s="154">
        <v>44000.0</v>
      </c>
      <c r="I142" s="156">
        <v>1.0</v>
      </c>
      <c r="J142" s="109">
        <f t="shared" si="24"/>
        <v>44000</v>
      </c>
      <c r="K142" s="1"/>
      <c r="L142" s="148" t="s">
        <v>112</v>
      </c>
      <c r="M142" s="157">
        <v>40000.0</v>
      </c>
      <c r="N142" s="156">
        <v>1.0</v>
      </c>
      <c r="O142" s="109">
        <f t="shared" si="25"/>
        <v>40000</v>
      </c>
      <c r="P142" s="1"/>
    </row>
    <row r="143" ht="15.0" customHeight="1">
      <c r="A143" s="1"/>
      <c r="B143" s="148" t="s">
        <v>113</v>
      </c>
      <c r="C143" s="154">
        <v>30000.0</v>
      </c>
      <c r="D143" s="155">
        <v>2.0</v>
      </c>
      <c r="E143" s="109">
        <f t="shared" si="22"/>
        <v>60000</v>
      </c>
      <c r="F143" s="66"/>
      <c r="G143" s="148" t="s">
        <v>156</v>
      </c>
      <c r="H143" s="154">
        <v>26000.0</v>
      </c>
      <c r="I143" s="156">
        <v>2.0</v>
      </c>
      <c r="J143" s="109">
        <f t="shared" si="24"/>
        <v>52000</v>
      </c>
      <c r="K143" s="1"/>
      <c r="L143" s="148" t="s">
        <v>156</v>
      </c>
      <c r="M143" s="157">
        <v>25000.0</v>
      </c>
      <c r="N143" s="156">
        <v>2.0</v>
      </c>
      <c r="O143" s="109">
        <f t="shared" si="25"/>
        <v>50000</v>
      </c>
      <c r="P143" s="1"/>
    </row>
    <row r="144" ht="15.0" customHeight="1">
      <c r="A144" s="1"/>
      <c r="B144" s="148" t="s">
        <v>114</v>
      </c>
      <c r="C144" s="154">
        <v>28000.0</v>
      </c>
      <c r="D144" s="155">
        <v>25.0</v>
      </c>
      <c r="E144" s="109">
        <f t="shared" si="22"/>
        <v>700000</v>
      </c>
      <c r="F144" s="66"/>
      <c r="G144" s="148" t="s">
        <v>157</v>
      </c>
      <c r="H144" s="154">
        <v>25000.0</v>
      </c>
      <c r="I144" s="156">
        <v>25.0</v>
      </c>
      <c r="J144" s="109">
        <f t="shared" si="24"/>
        <v>625000</v>
      </c>
      <c r="K144" s="1"/>
      <c r="L144" s="148" t="s">
        <v>157</v>
      </c>
      <c r="M144" s="157">
        <v>20000.0</v>
      </c>
      <c r="N144" s="156">
        <v>25.0</v>
      </c>
      <c r="O144" s="109">
        <f t="shared" si="25"/>
        <v>500000</v>
      </c>
      <c r="P144" s="1"/>
    </row>
    <row r="145" ht="15.0" customHeight="1">
      <c r="A145" s="1"/>
      <c r="B145" s="148" t="s">
        <v>115</v>
      </c>
      <c r="C145" s="154">
        <v>20000.0</v>
      </c>
      <c r="D145" s="155">
        <v>2.0</v>
      </c>
      <c r="E145" s="109">
        <f t="shared" si="22"/>
        <v>40000</v>
      </c>
      <c r="F145" s="66"/>
      <c r="G145" s="148" t="s">
        <v>158</v>
      </c>
      <c r="H145" s="154">
        <v>17500.0</v>
      </c>
      <c r="I145" s="156">
        <v>2.0</v>
      </c>
      <c r="J145" s="109">
        <f t="shared" si="24"/>
        <v>35000</v>
      </c>
      <c r="K145" s="1"/>
      <c r="L145" s="148" t="s">
        <v>158</v>
      </c>
      <c r="M145" s="157">
        <v>15000.0</v>
      </c>
      <c r="N145" s="156">
        <v>2.0</v>
      </c>
      <c r="O145" s="109">
        <f t="shared" si="25"/>
        <v>30000</v>
      </c>
      <c r="P145" s="1"/>
    </row>
    <row r="146" ht="15.0" customHeight="1">
      <c r="A146" s="1"/>
      <c r="B146" s="148" t="s">
        <v>116</v>
      </c>
      <c r="C146" s="154">
        <v>5000.0</v>
      </c>
      <c r="D146" s="155">
        <v>2.0</v>
      </c>
      <c r="E146" s="109">
        <f t="shared" si="22"/>
        <v>10000</v>
      </c>
      <c r="F146" s="66"/>
      <c r="G146" s="148" t="s">
        <v>116</v>
      </c>
      <c r="H146" s="154">
        <v>4000.0</v>
      </c>
      <c r="I146" s="156">
        <v>2.0</v>
      </c>
      <c r="J146" s="109">
        <f t="shared" si="24"/>
        <v>8000</v>
      </c>
      <c r="K146" s="1"/>
      <c r="L146" s="148" t="s">
        <v>116</v>
      </c>
      <c r="M146" s="157">
        <v>3000.0</v>
      </c>
      <c r="N146" s="156">
        <v>2.0</v>
      </c>
      <c r="O146" s="109">
        <f t="shared" si="25"/>
        <v>6000</v>
      </c>
      <c r="P146" s="1"/>
    </row>
    <row r="147" ht="18.75" customHeight="1">
      <c r="A147" s="4"/>
      <c r="B147" s="122" t="s">
        <v>56</v>
      </c>
      <c r="C147" s="87"/>
      <c r="D147" s="88"/>
      <c r="E147" s="123">
        <f>SUM(E134:E146)</f>
        <v>1673000</v>
      </c>
      <c r="F147" s="72"/>
      <c r="G147" s="122" t="s">
        <v>56</v>
      </c>
      <c r="H147" s="87"/>
      <c r="I147" s="88"/>
      <c r="J147" s="123">
        <f>SUM(J134:J146)</f>
        <v>1408000</v>
      </c>
      <c r="K147" s="4"/>
      <c r="L147" s="122" t="s">
        <v>56</v>
      </c>
      <c r="M147" s="87"/>
      <c r="N147" s="88"/>
      <c r="O147" s="123">
        <f>SUM(O134:O146)</f>
        <v>1111000</v>
      </c>
      <c r="P147" s="1"/>
    </row>
    <row r="148" ht="15.0" customHeight="1">
      <c r="A148" s="1"/>
      <c r="B148" s="1"/>
      <c r="C148" s="1"/>
      <c r="D148" s="1"/>
      <c r="E148" s="1"/>
      <c r="F148" s="66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27.0" customHeight="1">
      <c r="A149" s="1"/>
      <c r="B149" s="102" t="str">
        <f>'🏦COVER🏦'!D15</f>
        <v>#REF!</v>
      </c>
      <c r="C149" s="125" t="s">
        <v>5</v>
      </c>
      <c r="D149" s="125" t="s">
        <v>6</v>
      </c>
      <c r="E149" s="125" t="s">
        <v>7</v>
      </c>
      <c r="F149" s="66"/>
      <c r="G149" s="102" t="str">
        <f>B149</f>
        <v>#REF!</v>
      </c>
      <c r="H149" s="125" t="s">
        <v>5</v>
      </c>
      <c r="I149" s="125" t="s">
        <v>6</v>
      </c>
      <c r="J149" s="125" t="s">
        <v>7</v>
      </c>
      <c r="K149" s="1"/>
      <c r="L149" s="102" t="str">
        <f>B149</f>
        <v>#REF!</v>
      </c>
      <c r="M149" s="125" t="s">
        <v>5</v>
      </c>
      <c r="N149" s="125" t="s">
        <v>6</v>
      </c>
      <c r="O149" s="125" t="s">
        <v>7</v>
      </c>
      <c r="P149" s="1"/>
    </row>
    <row r="150" ht="15.0" customHeight="1">
      <c r="A150" s="4"/>
      <c r="B150" s="105" t="s">
        <v>117</v>
      </c>
      <c r="C150" s="158">
        <v>11700.0</v>
      </c>
      <c r="D150" s="159">
        <v>4.0</v>
      </c>
      <c r="E150" s="108">
        <f t="shared" ref="E150:E159" si="26">C150*D150</f>
        <v>46800</v>
      </c>
      <c r="F150" s="66" t="str">
        <f t="shared" ref="F150:F153" si="27">G150</f>
        <v>Karton 68x78</v>
      </c>
      <c r="G150" s="105" t="s">
        <v>118</v>
      </c>
      <c r="H150" s="158">
        <v>8500.0</v>
      </c>
      <c r="I150" s="159">
        <v>4.0</v>
      </c>
      <c r="J150" s="108">
        <f t="shared" ref="J150:J159" si="28">H150*I150</f>
        <v>34000</v>
      </c>
      <c r="K150" s="1"/>
      <c r="L150" s="105" t="s">
        <v>118</v>
      </c>
      <c r="M150" s="158">
        <v>3737.0</v>
      </c>
      <c r="N150" s="159">
        <v>4.0</v>
      </c>
      <c r="O150" s="108">
        <f t="shared" ref="O150:O159" si="29">M150*N150</f>
        <v>14948</v>
      </c>
      <c r="P150" s="1"/>
    </row>
    <row r="151" ht="15.0" customHeight="1">
      <c r="A151" s="1"/>
      <c r="B151" s="110" t="s">
        <v>119</v>
      </c>
      <c r="C151" s="160">
        <v>85000.0</v>
      </c>
      <c r="D151" s="112">
        <v>6.0</v>
      </c>
      <c r="E151" s="111">
        <f t="shared" si="26"/>
        <v>510000</v>
      </c>
      <c r="F151" s="66" t="str">
        <f t="shared" si="27"/>
        <v>Kardus Besar size kulkas</v>
      </c>
      <c r="G151" s="110" t="s">
        <v>119</v>
      </c>
      <c r="H151" s="161">
        <v>55000.0</v>
      </c>
      <c r="I151" s="112">
        <v>6.0</v>
      </c>
      <c r="J151" s="111">
        <f t="shared" si="28"/>
        <v>330000</v>
      </c>
      <c r="K151" s="1"/>
      <c r="L151" s="110" t="s">
        <v>119</v>
      </c>
      <c r="M151" s="161">
        <v>55000.0</v>
      </c>
      <c r="N151" s="112">
        <v>6.0</v>
      </c>
      <c r="O151" s="111">
        <f t="shared" si="29"/>
        <v>330000</v>
      </c>
      <c r="P151" s="1"/>
    </row>
    <row r="152" ht="15.0" customHeight="1">
      <c r="A152" s="1"/>
      <c r="B152" s="162" t="s">
        <v>120</v>
      </c>
      <c r="C152" s="163">
        <v>420000.0</v>
      </c>
      <c r="D152" s="164">
        <v>1.0</v>
      </c>
      <c r="E152" s="111">
        <f t="shared" si="26"/>
        <v>420000</v>
      </c>
      <c r="F152" s="66" t="str">
        <f t="shared" si="27"/>
        <v>Lensa Canon 24-70MM F/2.8L </v>
      </c>
      <c r="G152" s="162" t="s">
        <v>120</v>
      </c>
      <c r="H152" s="165">
        <v>400000.0</v>
      </c>
      <c r="I152" s="112">
        <v>1.0</v>
      </c>
      <c r="J152" s="111">
        <f t="shared" si="28"/>
        <v>400000</v>
      </c>
      <c r="K152" s="1"/>
      <c r="L152" s="162" t="s">
        <v>120</v>
      </c>
      <c r="M152" s="165">
        <v>340000.0</v>
      </c>
      <c r="N152" s="112">
        <v>1.0</v>
      </c>
      <c r="O152" s="111">
        <f t="shared" si="29"/>
        <v>340000</v>
      </c>
      <c r="P152" s="1"/>
    </row>
    <row r="153" ht="15.0" customHeight="1">
      <c r="A153" s="1"/>
      <c r="B153" s="162" t="s">
        <v>121</v>
      </c>
      <c r="C153" s="163">
        <v>520000.0</v>
      </c>
      <c r="D153" s="166">
        <v>1.0</v>
      </c>
      <c r="E153" s="111">
        <f t="shared" si="26"/>
        <v>520000</v>
      </c>
      <c r="F153" s="66" t="str">
        <f t="shared" si="27"/>
        <v>Lensa Fuji 16-55mm</v>
      </c>
      <c r="G153" s="162" t="s">
        <v>121</v>
      </c>
      <c r="H153" s="165">
        <v>500000.0</v>
      </c>
      <c r="I153" s="107">
        <v>1.0</v>
      </c>
      <c r="J153" s="111">
        <f t="shared" si="28"/>
        <v>500000</v>
      </c>
      <c r="K153" s="1"/>
      <c r="L153" s="162" t="s">
        <v>121</v>
      </c>
      <c r="M153" s="165">
        <v>450000.0</v>
      </c>
      <c r="N153" s="107">
        <v>1.0</v>
      </c>
      <c r="O153" s="111">
        <f t="shared" si="29"/>
        <v>450000</v>
      </c>
      <c r="P153" s="1"/>
    </row>
    <row r="154" ht="15.0" customHeight="1">
      <c r="A154" s="1"/>
      <c r="B154" s="167" t="s">
        <v>122</v>
      </c>
      <c r="C154" s="165">
        <v>200000.0</v>
      </c>
      <c r="D154" s="166">
        <v>1.0</v>
      </c>
      <c r="E154" s="111">
        <f t="shared" si="26"/>
        <v>200000</v>
      </c>
      <c r="F154" s="66"/>
      <c r="G154" s="167" t="s">
        <v>122</v>
      </c>
      <c r="H154" s="165">
        <v>150000.0</v>
      </c>
      <c r="I154" s="112">
        <v>1.0</v>
      </c>
      <c r="J154" s="111">
        <f t="shared" si="28"/>
        <v>150000</v>
      </c>
      <c r="K154" s="1"/>
      <c r="L154" s="167" t="s">
        <v>122</v>
      </c>
      <c r="M154" s="165">
        <v>110000.0</v>
      </c>
      <c r="N154" s="112">
        <v>1.0</v>
      </c>
      <c r="O154" s="111">
        <f t="shared" si="29"/>
        <v>110000</v>
      </c>
      <c r="P154" s="1"/>
    </row>
    <row r="155" ht="15.0" customHeight="1">
      <c r="A155" s="1"/>
      <c r="B155" s="110" t="s">
        <v>123</v>
      </c>
      <c r="C155" s="165">
        <v>9000.0</v>
      </c>
      <c r="D155" s="155">
        <v>4.0</v>
      </c>
      <c r="E155" s="111">
        <f t="shared" si="26"/>
        <v>36000</v>
      </c>
      <c r="F155" s="66" t="str">
        <f t="shared" ref="F155:F159" si="30">G155</f>
        <v>Daun Palem</v>
      </c>
      <c r="G155" s="110" t="s">
        <v>123</v>
      </c>
      <c r="H155" s="165">
        <v>5000.0</v>
      </c>
      <c r="I155" s="112">
        <v>4.0</v>
      </c>
      <c r="J155" s="111">
        <f t="shared" si="28"/>
        <v>20000</v>
      </c>
      <c r="K155" s="1"/>
      <c r="L155" s="110" t="s">
        <v>123</v>
      </c>
      <c r="M155" s="165">
        <v>3800.0</v>
      </c>
      <c r="N155" s="112">
        <v>4.0</v>
      </c>
      <c r="O155" s="111">
        <f t="shared" si="29"/>
        <v>15200</v>
      </c>
      <c r="P155" s="1"/>
    </row>
    <row r="156" ht="15.0" customHeight="1">
      <c r="A156" s="1"/>
      <c r="B156" s="110" t="s">
        <v>124</v>
      </c>
      <c r="C156" s="165">
        <v>8500.0</v>
      </c>
      <c r="D156" s="155">
        <v>8.0</v>
      </c>
      <c r="E156" s="111">
        <f t="shared" si="26"/>
        <v>68000</v>
      </c>
      <c r="F156" s="66" t="str">
        <f t="shared" si="30"/>
        <v>Karton Padi A2</v>
      </c>
      <c r="G156" s="110" t="s">
        <v>124</v>
      </c>
      <c r="H156" s="165">
        <v>4000.0</v>
      </c>
      <c r="I156" s="112">
        <v>8.0</v>
      </c>
      <c r="J156" s="111">
        <f t="shared" si="28"/>
        <v>32000</v>
      </c>
      <c r="K156" s="1"/>
      <c r="L156" s="110" t="s">
        <v>124</v>
      </c>
      <c r="M156" s="165">
        <v>3500.0</v>
      </c>
      <c r="N156" s="112">
        <v>8.0</v>
      </c>
      <c r="O156" s="111">
        <f t="shared" si="29"/>
        <v>28000</v>
      </c>
      <c r="P156" s="1"/>
    </row>
    <row r="157" ht="15.0" customHeight="1">
      <c r="A157" s="1"/>
      <c r="B157" s="110" t="s">
        <v>125</v>
      </c>
      <c r="C157" s="165">
        <v>32000.0</v>
      </c>
      <c r="D157" s="155">
        <v>8.0</v>
      </c>
      <c r="E157" s="111">
        <f t="shared" si="26"/>
        <v>256000</v>
      </c>
      <c r="F157" s="66" t="str">
        <f t="shared" si="30"/>
        <v>Print Dekor Pangung (Gapura) A2</v>
      </c>
      <c r="G157" s="110" t="s">
        <v>125</v>
      </c>
      <c r="H157" s="165">
        <v>19000.0</v>
      </c>
      <c r="I157" s="112">
        <v>8.0</v>
      </c>
      <c r="J157" s="111">
        <f t="shared" si="28"/>
        <v>152000</v>
      </c>
      <c r="K157" s="1"/>
      <c r="L157" s="110" t="s">
        <v>125</v>
      </c>
      <c r="M157" s="165">
        <v>17000.0</v>
      </c>
      <c r="N157" s="112">
        <v>8.0</v>
      </c>
      <c r="O157" s="111">
        <f t="shared" si="29"/>
        <v>136000</v>
      </c>
      <c r="P157" s="1"/>
    </row>
    <row r="158" ht="15.0" customHeight="1">
      <c r="A158" s="1"/>
      <c r="B158" s="110" t="s">
        <v>126</v>
      </c>
      <c r="C158" s="165">
        <v>7500.0</v>
      </c>
      <c r="D158" s="155">
        <v>4.0</v>
      </c>
      <c r="E158" s="111">
        <f t="shared" si="26"/>
        <v>30000</v>
      </c>
      <c r="F158" s="66" t="str">
        <f t="shared" si="30"/>
        <v>Daun Ilalang</v>
      </c>
      <c r="G158" s="110" t="s">
        <v>126</v>
      </c>
      <c r="H158" s="165">
        <v>6480.0</v>
      </c>
      <c r="I158" s="112">
        <v>4.0</v>
      </c>
      <c r="J158" s="111">
        <f t="shared" si="28"/>
        <v>25920</v>
      </c>
      <c r="K158" s="1"/>
      <c r="L158" s="110" t="s">
        <v>126</v>
      </c>
      <c r="M158" s="165">
        <v>5700.0</v>
      </c>
      <c r="N158" s="112">
        <v>4.0</v>
      </c>
      <c r="O158" s="111">
        <f t="shared" si="29"/>
        <v>22800</v>
      </c>
      <c r="P158" s="1"/>
    </row>
    <row r="159" ht="15.0" customHeight="1">
      <c r="A159" s="1"/>
      <c r="B159" s="110" t="s">
        <v>127</v>
      </c>
      <c r="C159" s="165">
        <v>10000.0</v>
      </c>
      <c r="D159" s="155">
        <v>8.0</v>
      </c>
      <c r="E159" s="111">
        <f t="shared" si="26"/>
        <v>80000</v>
      </c>
      <c r="F159" s="66" t="str">
        <f t="shared" si="30"/>
        <v>Print Dekor Panggung Front View A3</v>
      </c>
      <c r="G159" s="110" t="s">
        <v>127</v>
      </c>
      <c r="H159" s="165">
        <v>5300.0</v>
      </c>
      <c r="I159" s="112">
        <v>8.0</v>
      </c>
      <c r="J159" s="111">
        <f t="shared" si="28"/>
        <v>42400</v>
      </c>
      <c r="K159" s="1"/>
      <c r="L159" s="110" t="s">
        <v>127</v>
      </c>
      <c r="M159" s="165">
        <v>4000.0</v>
      </c>
      <c r="N159" s="112">
        <v>8.0</v>
      </c>
      <c r="O159" s="111">
        <f t="shared" si="29"/>
        <v>32000</v>
      </c>
      <c r="P159" s="1"/>
    </row>
    <row r="160" ht="15.0" customHeight="1">
      <c r="A160" s="4"/>
      <c r="B160" s="122" t="s">
        <v>56</v>
      </c>
      <c r="C160" s="87"/>
      <c r="D160" s="88"/>
      <c r="E160" s="123">
        <f>SUM(E151:E159)</f>
        <v>2120000</v>
      </c>
      <c r="F160" s="133" t="s">
        <v>128</v>
      </c>
      <c r="G160" s="122" t="s">
        <v>56</v>
      </c>
      <c r="H160" s="87"/>
      <c r="I160" s="88"/>
      <c r="J160" s="123">
        <f>SUM(J151:J159)</f>
        <v>1652320</v>
      </c>
      <c r="K160" s="4"/>
      <c r="L160" s="122" t="s">
        <v>56</v>
      </c>
      <c r="M160" s="87"/>
      <c r="N160" s="88"/>
      <c r="O160" s="123">
        <f>SUM(O151:O159)</f>
        <v>1464000</v>
      </c>
      <c r="P160" s="1"/>
    </row>
    <row r="161" ht="15.0" customHeight="1">
      <c r="A161" s="1"/>
      <c r="B161" s="168"/>
      <c r="C161" s="168"/>
      <c r="D161" s="168"/>
      <c r="E161" s="1"/>
      <c r="F161" s="169" t="s">
        <v>129</v>
      </c>
      <c r="G161" s="168"/>
      <c r="H161" s="168"/>
      <c r="I161" s="168"/>
      <c r="J161" s="1"/>
      <c r="K161" s="1"/>
      <c r="L161" s="168"/>
      <c r="M161" s="168"/>
      <c r="N161" s="168"/>
      <c r="O161" s="1"/>
      <c r="P161" s="1"/>
    </row>
    <row r="162" ht="24.75" customHeight="1">
      <c r="A162" s="1"/>
      <c r="B162" s="102" t="str">
        <f>'🏦COVER🏦'!D16</f>
        <v>#REF!</v>
      </c>
      <c r="C162" s="125" t="s">
        <v>5</v>
      </c>
      <c r="D162" s="125" t="s">
        <v>6</v>
      </c>
      <c r="E162" s="125" t="s">
        <v>7</v>
      </c>
      <c r="F162" s="66"/>
      <c r="G162" s="102" t="str">
        <f>B162</f>
        <v>#REF!</v>
      </c>
      <c r="H162" s="125" t="s">
        <v>5</v>
      </c>
      <c r="I162" s="125" t="s">
        <v>6</v>
      </c>
      <c r="J162" s="125" t="s">
        <v>7</v>
      </c>
      <c r="K162" s="1"/>
      <c r="L162" s="102" t="str">
        <f>B162</f>
        <v>#REF!</v>
      </c>
      <c r="M162" s="125" t="s">
        <v>5</v>
      </c>
      <c r="N162" s="125" t="s">
        <v>6</v>
      </c>
      <c r="O162" s="125" t="s">
        <v>7</v>
      </c>
      <c r="P162" s="1"/>
    </row>
    <row r="163" ht="15.0" customHeight="1">
      <c r="A163" s="4"/>
      <c r="B163" s="105" t="s">
        <v>130</v>
      </c>
      <c r="C163" s="158">
        <v>885000.0</v>
      </c>
      <c r="D163" s="159">
        <v>362.0</v>
      </c>
      <c r="E163" s="108">
        <f t="shared" ref="E163:E173" si="31">C163*D163</f>
        <v>320370000</v>
      </c>
      <c r="F163" s="66" t="str">
        <f>G163</f>
        <v> Hotels &amp; Venue</v>
      </c>
      <c r="G163" s="105" t="s">
        <v>162</v>
      </c>
      <c r="H163" s="158">
        <v>885000.0</v>
      </c>
      <c r="I163" s="112">
        <v>364.0</v>
      </c>
      <c r="J163" s="108">
        <f t="shared" ref="J163:J173" si="32">H163*I163</f>
        <v>322140000</v>
      </c>
      <c r="K163" s="4"/>
      <c r="L163" s="105" t="str">
        <f>G163</f>
        <v> Hotels &amp; Venue</v>
      </c>
      <c r="M163" s="158">
        <v>885000.0</v>
      </c>
      <c r="N163" s="159">
        <v>369.0</v>
      </c>
      <c r="O163" s="108">
        <f t="shared" ref="O163:O173" si="33">M163*N163</f>
        <v>326565000</v>
      </c>
      <c r="P163" s="1"/>
    </row>
    <row r="164" ht="15.0" customHeight="1">
      <c r="A164" s="4"/>
      <c r="B164" s="110" t="s">
        <v>159</v>
      </c>
      <c r="C164" s="161">
        <v>500000.0</v>
      </c>
      <c r="D164" s="112">
        <v>1.0</v>
      </c>
      <c r="E164" s="108">
        <f t="shared" si="31"/>
        <v>500000</v>
      </c>
      <c r="F164" s="66"/>
      <c r="G164" s="110" t="s">
        <v>159</v>
      </c>
      <c r="H164" s="161">
        <v>400000.0</v>
      </c>
      <c r="I164" s="112">
        <v>1.0</v>
      </c>
      <c r="J164" s="108">
        <f t="shared" si="32"/>
        <v>400000</v>
      </c>
      <c r="K164" s="4"/>
      <c r="L164" s="110" t="s">
        <v>159</v>
      </c>
      <c r="M164" s="161">
        <v>300000.0</v>
      </c>
      <c r="N164" s="112">
        <v>1.0</v>
      </c>
      <c r="O164" s="108">
        <f t="shared" si="33"/>
        <v>300000</v>
      </c>
      <c r="P164" s="1"/>
    </row>
    <row r="165" ht="15.0" customHeight="1">
      <c r="A165" s="1"/>
      <c r="B165" s="127" t="s">
        <v>131</v>
      </c>
      <c r="C165" s="161">
        <v>4000000.0</v>
      </c>
      <c r="D165" s="112">
        <v>5.0</v>
      </c>
      <c r="E165" s="149">
        <f t="shared" si="31"/>
        <v>20000000</v>
      </c>
      <c r="F165" s="66" t="str">
        <f t="shared" ref="F165:F170" si="34">G165</f>
        <v> CDT+LCP Pre-Meeting Homestay</v>
      </c>
      <c r="G165" s="127" t="s">
        <v>163</v>
      </c>
      <c r="H165" s="161">
        <v>3500000.0</v>
      </c>
      <c r="I165" s="112">
        <v>5.0</v>
      </c>
      <c r="J165" s="149">
        <f t="shared" si="32"/>
        <v>17500000</v>
      </c>
      <c r="K165" s="4"/>
      <c r="L165" s="127" t="str">
        <f t="shared" ref="L165:L170" si="35">G165</f>
        <v> CDT+LCP Pre-Meeting Homestay</v>
      </c>
      <c r="M165" s="161">
        <v>3200000.0</v>
      </c>
      <c r="N165" s="112">
        <v>5.0</v>
      </c>
      <c r="O165" s="149">
        <f t="shared" si="33"/>
        <v>16000000</v>
      </c>
      <c r="P165" s="1"/>
    </row>
    <row r="166" ht="15.0" customHeight="1">
      <c r="A166" s="1"/>
      <c r="B166" s="127" t="s">
        <v>160</v>
      </c>
      <c r="C166" s="161">
        <v>225000.0</v>
      </c>
      <c r="D166" s="112">
        <v>39.0</v>
      </c>
      <c r="E166" s="149">
        <f t="shared" si="31"/>
        <v>8775000</v>
      </c>
      <c r="F166" s="66" t="str">
        <f t="shared" si="34"/>
        <v>CDT Consumptions (15x makan)</v>
      </c>
      <c r="G166" s="127" t="s">
        <v>160</v>
      </c>
      <c r="H166" s="161">
        <v>165000.0</v>
      </c>
      <c r="I166" s="112">
        <v>39.0</v>
      </c>
      <c r="J166" s="149">
        <f t="shared" si="32"/>
        <v>6435000</v>
      </c>
      <c r="K166" s="4"/>
      <c r="L166" s="127" t="str">
        <f t="shared" si="35"/>
        <v>CDT Consumptions (15x makan)</v>
      </c>
      <c r="M166" s="161">
        <v>135000.0</v>
      </c>
      <c r="N166" s="112">
        <v>39.0</v>
      </c>
      <c r="O166" s="149">
        <f t="shared" si="33"/>
        <v>5265000</v>
      </c>
      <c r="P166" s="1"/>
    </row>
    <row r="167" ht="15.0" customHeight="1">
      <c r="A167" s="1"/>
      <c r="B167" s="127" t="s">
        <v>135</v>
      </c>
      <c r="C167" s="161">
        <v>0.0</v>
      </c>
      <c r="D167" s="112">
        <v>0.0</v>
      </c>
      <c r="E167" s="149">
        <f t="shared" si="31"/>
        <v>0</v>
      </c>
      <c r="F167" s="66" t="str">
        <f t="shared" si="34"/>
        <v>Chair Transportation</v>
      </c>
      <c r="G167" s="127" t="s">
        <v>135</v>
      </c>
      <c r="H167" s="161">
        <v>0.0</v>
      </c>
      <c r="I167" s="112">
        <v>0.0</v>
      </c>
      <c r="J167" s="130">
        <f t="shared" si="32"/>
        <v>0</v>
      </c>
      <c r="K167" s="1"/>
      <c r="L167" s="127" t="str">
        <f t="shared" si="35"/>
        <v>Chair Transportation</v>
      </c>
      <c r="M167" s="161">
        <v>0.0</v>
      </c>
      <c r="N167" s="112">
        <v>0.0</v>
      </c>
      <c r="O167" s="130">
        <f t="shared" si="33"/>
        <v>0</v>
      </c>
      <c r="P167" s="1"/>
    </row>
    <row r="168" ht="15.0" customHeight="1">
      <c r="A168" s="1"/>
      <c r="B168" s="127" t="s">
        <v>136</v>
      </c>
      <c r="C168" s="161">
        <v>135000.0</v>
      </c>
      <c r="D168" s="112">
        <v>27.0</v>
      </c>
      <c r="E168" s="149">
        <f t="shared" si="31"/>
        <v>3645000</v>
      </c>
      <c r="F168" s="66" t="str">
        <f t="shared" si="34"/>
        <v>LCP Pre-Meeting Consumption (9x makan)</v>
      </c>
      <c r="G168" s="127" t="s">
        <v>136</v>
      </c>
      <c r="H168" s="161">
        <v>99000.0</v>
      </c>
      <c r="I168" s="112">
        <v>27.0</v>
      </c>
      <c r="J168" s="138">
        <f t="shared" si="32"/>
        <v>2673000</v>
      </c>
      <c r="K168" s="1"/>
      <c r="L168" s="127" t="str">
        <f t="shared" si="35"/>
        <v>LCP Pre-Meeting Consumption (9x makan)</v>
      </c>
      <c r="M168" s="161">
        <v>81000.0</v>
      </c>
      <c r="N168" s="112">
        <v>27.0</v>
      </c>
      <c r="O168" s="138">
        <f t="shared" si="33"/>
        <v>2187000</v>
      </c>
      <c r="P168" s="1"/>
    </row>
    <row r="169" ht="15.0" customHeight="1">
      <c r="A169" s="1"/>
      <c r="B169" s="127" t="s">
        <v>137</v>
      </c>
      <c r="C169" s="161">
        <v>12000.0</v>
      </c>
      <c r="D169" s="112">
        <v>8.0</v>
      </c>
      <c r="E169" s="149">
        <f t="shared" si="31"/>
        <v>96000</v>
      </c>
      <c r="F169" s="66" t="str">
        <f t="shared" si="34"/>
        <v>Air Galon</v>
      </c>
      <c r="G169" s="127" t="s">
        <v>137</v>
      </c>
      <c r="H169" s="161">
        <v>10000.0</v>
      </c>
      <c r="I169" s="112">
        <v>8.0</v>
      </c>
      <c r="J169" s="149">
        <f t="shared" si="32"/>
        <v>80000</v>
      </c>
      <c r="K169" s="1"/>
      <c r="L169" s="127" t="str">
        <f t="shared" si="35"/>
        <v>Air Galon</v>
      </c>
      <c r="M169" s="161">
        <v>8000.0</v>
      </c>
      <c r="N169" s="112">
        <v>8.0</v>
      </c>
      <c r="O169" s="149">
        <f t="shared" si="33"/>
        <v>64000</v>
      </c>
      <c r="P169" s="1"/>
    </row>
    <row r="170" ht="15.0" customHeight="1">
      <c r="A170" s="1"/>
      <c r="B170" s="127" t="s">
        <v>138</v>
      </c>
      <c r="C170" s="161">
        <v>9600.0</v>
      </c>
      <c r="D170" s="112">
        <v>2.0</v>
      </c>
      <c r="E170" s="149">
        <f t="shared" si="31"/>
        <v>19200</v>
      </c>
      <c r="F170" s="66" t="str">
        <f t="shared" si="34"/>
        <v>Trash Bag</v>
      </c>
      <c r="G170" s="127" t="s">
        <v>138</v>
      </c>
      <c r="H170" s="161">
        <v>6749.0</v>
      </c>
      <c r="I170" s="112">
        <v>5.0</v>
      </c>
      <c r="J170" s="149">
        <f t="shared" si="32"/>
        <v>33745</v>
      </c>
      <c r="K170" s="1"/>
      <c r="L170" s="127" t="str">
        <f t="shared" si="35"/>
        <v>Trash Bag</v>
      </c>
      <c r="M170" s="161">
        <v>6620.0</v>
      </c>
      <c r="N170" s="112">
        <v>5.0</v>
      </c>
      <c r="O170" s="149">
        <f t="shared" si="33"/>
        <v>33100</v>
      </c>
      <c r="P170" s="1"/>
    </row>
    <row r="171" ht="15.0" customHeight="1">
      <c r="A171" s="1"/>
      <c r="B171" s="127" t="s">
        <v>134</v>
      </c>
      <c r="C171" s="161">
        <v>5000000.0</v>
      </c>
      <c r="D171" s="112">
        <v>3.0</v>
      </c>
      <c r="E171" s="149">
        <f t="shared" si="31"/>
        <v>15000000</v>
      </c>
      <c r="F171" s="66"/>
      <c r="G171" s="127" t="s">
        <v>134</v>
      </c>
      <c r="H171" s="161">
        <v>5000000.0</v>
      </c>
      <c r="I171" s="112">
        <v>3.0</v>
      </c>
      <c r="J171" s="149">
        <f t="shared" si="32"/>
        <v>15000000</v>
      </c>
      <c r="K171" s="1"/>
      <c r="L171" s="127" t="s">
        <v>134</v>
      </c>
      <c r="M171" s="161">
        <v>5000000.0</v>
      </c>
      <c r="N171" s="112">
        <v>3.0</v>
      </c>
      <c r="O171" s="149">
        <f t="shared" si="33"/>
        <v>15000000</v>
      </c>
      <c r="P171" s="1"/>
    </row>
    <row r="172" ht="15.0" customHeight="1">
      <c r="A172" s="1"/>
      <c r="B172" s="127" t="s">
        <v>139</v>
      </c>
      <c r="C172" s="161">
        <v>2500000.0</v>
      </c>
      <c r="D172" s="112">
        <v>1.0</v>
      </c>
      <c r="E172" s="149">
        <f t="shared" si="31"/>
        <v>2500000</v>
      </c>
      <c r="F172" s="66" t="str">
        <f t="shared" ref="F172:F173" si="36">G172</f>
        <v>Transportation and Mobilization Fee</v>
      </c>
      <c r="G172" s="127" t="s">
        <v>139</v>
      </c>
      <c r="H172" s="161">
        <v>2000000.0</v>
      </c>
      <c r="I172" s="112">
        <v>1.0</v>
      </c>
      <c r="J172" s="149">
        <f t="shared" si="32"/>
        <v>2000000</v>
      </c>
      <c r="K172" s="1"/>
      <c r="L172" s="127" t="str">
        <f>G172</f>
        <v>Transportation and Mobilization Fee</v>
      </c>
      <c r="M172" s="161">
        <v>1500000.0</v>
      </c>
      <c r="N172" s="112">
        <v>1.0</v>
      </c>
      <c r="O172" s="149">
        <f t="shared" si="33"/>
        <v>1500000</v>
      </c>
      <c r="P172" s="1"/>
    </row>
    <row r="173" ht="15.0" customHeight="1">
      <c r="A173" s="1"/>
      <c r="B173" s="127" t="s">
        <v>161</v>
      </c>
      <c r="C173" s="161">
        <v>2000000.0</v>
      </c>
      <c r="D173" s="112">
        <v>10.0</v>
      </c>
      <c r="E173" s="149">
        <f t="shared" si="31"/>
        <v>20000000</v>
      </c>
      <c r="F173" s="66" t="str">
        <f t="shared" si="36"/>
        <v>WLL Bus</v>
      </c>
      <c r="G173" s="127" t="s">
        <v>161</v>
      </c>
      <c r="H173" s="161">
        <v>1500000.0</v>
      </c>
      <c r="I173" s="112">
        <v>10.0</v>
      </c>
      <c r="J173" s="149">
        <f t="shared" si="32"/>
        <v>15000000</v>
      </c>
      <c r="K173" s="1"/>
      <c r="L173" s="127" t="s">
        <v>161</v>
      </c>
      <c r="M173" s="161">
        <v>1200000.0</v>
      </c>
      <c r="N173" s="112">
        <v>10.0</v>
      </c>
      <c r="O173" s="149">
        <f t="shared" si="33"/>
        <v>12000000</v>
      </c>
      <c r="P173" s="1"/>
    </row>
    <row r="174" ht="18.75" customHeight="1">
      <c r="A174" s="4"/>
      <c r="B174" s="122" t="s">
        <v>56</v>
      </c>
      <c r="C174" s="87"/>
      <c r="D174" s="88"/>
      <c r="E174" s="123">
        <f>SUM(E163:E173)</f>
        <v>390905200</v>
      </c>
      <c r="F174" s="4"/>
      <c r="G174" s="122" t="s">
        <v>56</v>
      </c>
      <c r="H174" s="87"/>
      <c r="I174" s="88"/>
      <c r="J174" s="123">
        <f>SUM(J163:J173)</f>
        <v>381261745</v>
      </c>
      <c r="K174" s="4"/>
      <c r="L174" s="122" t="s">
        <v>56</v>
      </c>
      <c r="M174" s="87"/>
      <c r="N174" s="88"/>
      <c r="O174" s="123">
        <f>SUM(O163:O173)</f>
        <v>378914100</v>
      </c>
      <c r="P174" s="1"/>
    </row>
    <row r="175" ht="15.0" customHeight="1">
      <c r="A175" s="1"/>
      <c r="B175" s="168"/>
      <c r="C175" s="168"/>
      <c r="D175" s="168"/>
      <c r="E175" s="1"/>
      <c r="F175" s="1"/>
      <c r="G175" s="168"/>
      <c r="H175" s="168"/>
      <c r="I175" s="168"/>
      <c r="J175" s="1"/>
      <c r="K175" s="1"/>
      <c r="L175" s="168"/>
      <c r="M175" s="168"/>
      <c r="N175" s="168"/>
      <c r="O175" s="1"/>
      <c r="P175" s="1"/>
    </row>
  </sheetData>
  <mergeCells count="58">
    <mergeCell ref="L29:N29"/>
    <mergeCell ref="L30:N30"/>
    <mergeCell ref="L32:N32"/>
    <mergeCell ref="L33:N33"/>
    <mergeCell ref="L34:N34"/>
    <mergeCell ref="L35:N35"/>
    <mergeCell ref="L36:N36"/>
    <mergeCell ref="G30:I30"/>
    <mergeCell ref="G31:I31"/>
    <mergeCell ref="G32:I32"/>
    <mergeCell ref="G33:I33"/>
    <mergeCell ref="G34:I34"/>
    <mergeCell ref="G35:I35"/>
    <mergeCell ref="G36:I36"/>
    <mergeCell ref="B1:O1"/>
    <mergeCell ref="B2:E2"/>
    <mergeCell ref="G2:J2"/>
    <mergeCell ref="L2:O2"/>
    <mergeCell ref="B3:E3"/>
    <mergeCell ref="G3:J3"/>
    <mergeCell ref="L3:O3"/>
    <mergeCell ref="B27:D27"/>
    <mergeCell ref="G27:I27"/>
    <mergeCell ref="L27:N27"/>
    <mergeCell ref="B29:D29"/>
    <mergeCell ref="G29:I29"/>
    <mergeCell ref="B30:D30"/>
    <mergeCell ref="L31:N31"/>
    <mergeCell ref="G37:I37"/>
    <mergeCell ref="G39:J39"/>
    <mergeCell ref="L39:O39"/>
    <mergeCell ref="B37:D37"/>
    <mergeCell ref="B79:D79"/>
    <mergeCell ref="B110:D110"/>
    <mergeCell ref="B132:D132"/>
    <mergeCell ref="B147:D147"/>
    <mergeCell ref="B160:D160"/>
    <mergeCell ref="B174:D174"/>
    <mergeCell ref="B31:D31"/>
    <mergeCell ref="B32:D32"/>
    <mergeCell ref="B33:D33"/>
    <mergeCell ref="B34:D34"/>
    <mergeCell ref="B35:D35"/>
    <mergeCell ref="B36:D36"/>
    <mergeCell ref="B39:E39"/>
    <mergeCell ref="L37:N37"/>
    <mergeCell ref="L79:N79"/>
    <mergeCell ref="L110:N110"/>
    <mergeCell ref="L132:N132"/>
    <mergeCell ref="L147:N147"/>
    <mergeCell ref="L160:N160"/>
    <mergeCell ref="L174:N174"/>
    <mergeCell ref="G79:I79"/>
    <mergeCell ref="G110:I110"/>
    <mergeCell ref="G132:I132"/>
    <mergeCell ref="G147:I147"/>
    <mergeCell ref="G160:I160"/>
    <mergeCell ref="G174:I17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57"/>
    <col customWidth="1" min="2" max="2" width="49.71"/>
    <col customWidth="1" min="3" max="3" width="20.43"/>
    <col customWidth="1" min="4" max="4" width="8.43"/>
    <col customWidth="1" min="5" max="5" width="20.43"/>
    <col customWidth="1" min="6" max="6" width="3.71"/>
    <col customWidth="1" min="7" max="7" width="51.57"/>
    <col customWidth="1" min="8" max="8" width="20.29"/>
    <col customWidth="1" min="9" max="9" width="8.43"/>
    <col customWidth="1" min="10" max="10" width="20.43"/>
    <col customWidth="1" min="11" max="11" width="3.71"/>
    <col customWidth="1" min="12" max="12" width="51.43"/>
    <col customWidth="1" min="13" max="13" width="21.0"/>
    <col customWidth="1" min="14" max="14" width="8.43"/>
    <col customWidth="1" min="15" max="15" width="20.43"/>
    <col customWidth="1" min="16" max="16" width="3.71"/>
  </cols>
  <sheetData>
    <row r="1" ht="34.5" customHeight="1">
      <c r="A1" s="1"/>
      <c r="B1" s="177" t="s">
        <v>164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</row>
    <row r="2" ht="28.5" customHeight="1">
      <c r="A2" s="4"/>
      <c r="B2" s="5" t="s">
        <v>165</v>
      </c>
      <c r="C2" s="6"/>
      <c r="D2" s="6"/>
      <c r="E2" s="7"/>
      <c r="F2" s="8"/>
      <c r="G2" s="9" t="s">
        <v>166</v>
      </c>
      <c r="H2" s="10"/>
      <c r="I2" s="10"/>
      <c r="J2" s="11"/>
      <c r="K2" s="8"/>
      <c r="L2" s="9" t="s">
        <v>167</v>
      </c>
      <c r="M2" s="10"/>
      <c r="N2" s="10"/>
      <c r="O2" s="11"/>
      <c r="P2" s="12"/>
    </row>
    <row r="3" ht="24.0" customHeight="1">
      <c r="A3" s="4"/>
      <c r="B3" s="13" t="s">
        <v>3</v>
      </c>
      <c r="C3" s="14"/>
      <c r="D3" s="14"/>
      <c r="E3" s="15"/>
      <c r="F3" s="16"/>
      <c r="G3" s="17" t="s">
        <v>3</v>
      </c>
      <c r="H3" s="18"/>
      <c r="I3" s="18"/>
      <c r="J3" s="19"/>
      <c r="K3" s="16"/>
      <c r="L3" s="17" t="s">
        <v>3</v>
      </c>
      <c r="M3" s="18"/>
      <c r="N3" s="18"/>
      <c r="O3" s="19"/>
      <c r="P3" s="16"/>
    </row>
    <row r="4" ht="24.0" customHeight="1">
      <c r="A4" s="4"/>
      <c r="B4" s="20" t="s">
        <v>4</v>
      </c>
      <c r="C4" s="21" t="s">
        <v>5</v>
      </c>
      <c r="D4" s="22" t="s">
        <v>6</v>
      </c>
      <c r="E4" s="23" t="s">
        <v>7</v>
      </c>
      <c r="F4" s="16"/>
      <c r="G4" s="22" t="s">
        <v>4</v>
      </c>
      <c r="H4" s="21" t="s">
        <v>5</v>
      </c>
      <c r="I4" s="22" t="s">
        <v>6</v>
      </c>
      <c r="J4" s="23" t="s">
        <v>7</v>
      </c>
      <c r="K4" s="16"/>
      <c r="L4" s="22" t="s">
        <v>4</v>
      </c>
      <c r="M4" s="21" t="s">
        <v>5</v>
      </c>
      <c r="N4" s="22" t="s">
        <v>6</v>
      </c>
      <c r="O4" s="23" t="s">
        <v>7</v>
      </c>
      <c r="P4" s="24"/>
    </row>
    <row r="5" ht="21.75" customHeight="1">
      <c r="A5" s="4"/>
      <c r="B5" s="25"/>
      <c r="C5" s="26"/>
      <c r="D5" s="27"/>
      <c r="E5" s="28">
        <f t="shared" ref="E5:E26" si="1">C5*D5</f>
        <v>0</v>
      </c>
      <c r="F5" s="16"/>
      <c r="G5" s="25"/>
      <c r="H5" s="26"/>
      <c r="I5" s="27"/>
      <c r="J5" s="28">
        <f t="shared" ref="J5:J26" si="2">H5*I5</f>
        <v>0</v>
      </c>
      <c r="K5" s="16"/>
      <c r="L5" s="29"/>
      <c r="M5" s="26"/>
      <c r="N5" s="27"/>
      <c r="O5" s="28">
        <f t="shared" ref="O5:O26" si="3">M5*N5</f>
        <v>0</v>
      </c>
      <c r="P5" s="30"/>
    </row>
    <row r="6" ht="17.25" customHeight="1">
      <c r="A6" s="4"/>
      <c r="B6" s="29"/>
      <c r="C6" s="31"/>
      <c r="D6" s="32"/>
      <c r="E6" s="33">
        <f t="shared" si="1"/>
        <v>0</v>
      </c>
      <c r="F6" s="16"/>
      <c r="G6" s="29"/>
      <c r="H6" s="31"/>
      <c r="I6" s="32"/>
      <c r="J6" s="33">
        <f t="shared" si="2"/>
        <v>0</v>
      </c>
      <c r="K6" s="24"/>
      <c r="L6" s="29"/>
      <c r="M6" s="31"/>
      <c r="N6" s="32"/>
      <c r="O6" s="33">
        <f t="shared" si="3"/>
        <v>0</v>
      </c>
      <c r="P6" s="30"/>
    </row>
    <row r="7" ht="17.25" customHeight="1">
      <c r="A7" s="4"/>
      <c r="B7" s="29"/>
      <c r="C7" s="31"/>
      <c r="D7" s="32"/>
      <c r="E7" s="33">
        <f t="shared" si="1"/>
        <v>0</v>
      </c>
      <c r="F7" s="16"/>
      <c r="G7" s="29"/>
      <c r="H7" s="31"/>
      <c r="I7" s="32"/>
      <c r="J7" s="33">
        <f t="shared" si="2"/>
        <v>0</v>
      </c>
      <c r="K7" s="24"/>
      <c r="L7" s="34"/>
      <c r="M7" s="31"/>
      <c r="N7" s="32"/>
      <c r="O7" s="33">
        <f t="shared" si="3"/>
        <v>0</v>
      </c>
      <c r="P7" s="30"/>
    </row>
    <row r="8" ht="18.0" customHeight="1">
      <c r="A8" s="4"/>
      <c r="B8" s="34"/>
      <c r="C8" s="31"/>
      <c r="D8" s="32"/>
      <c r="E8" s="35">
        <f t="shared" si="1"/>
        <v>0</v>
      </c>
      <c r="F8" s="16"/>
      <c r="G8" s="34"/>
      <c r="H8" s="31"/>
      <c r="I8" s="32"/>
      <c r="J8" s="35">
        <f t="shared" si="2"/>
        <v>0</v>
      </c>
      <c r="K8" s="30"/>
      <c r="L8" s="34"/>
      <c r="M8" s="31"/>
      <c r="N8" s="32"/>
      <c r="O8" s="33">
        <f t="shared" si="3"/>
        <v>0</v>
      </c>
      <c r="P8" s="30"/>
    </row>
    <row r="9" ht="17.25" customHeight="1">
      <c r="A9" s="36"/>
      <c r="B9" s="29"/>
      <c r="C9" s="31"/>
      <c r="D9" s="32"/>
      <c r="E9" s="37">
        <f t="shared" si="1"/>
        <v>0</v>
      </c>
      <c r="F9" s="24"/>
      <c r="G9" s="29"/>
      <c r="H9" s="31"/>
      <c r="I9" s="32"/>
      <c r="J9" s="37">
        <f t="shared" si="2"/>
        <v>0</v>
      </c>
      <c r="K9" s="30"/>
      <c r="L9" s="34"/>
      <c r="M9" s="31"/>
      <c r="N9" s="32"/>
      <c r="O9" s="33">
        <f t="shared" si="3"/>
        <v>0</v>
      </c>
      <c r="P9" s="30"/>
    </row>
    <row r="10" ht="15.75" customHeight="1">
      <c r="A10" s="30"/>
      <c r="B10" s="38"/>
      <c r="C10" s="31"/>
      <c r="D10" s="32"/>
      <c r="E10" s="37">
        <f t="shared" si="1"/>
        <v>0</v>
      </c>
      <c r="F10" s="30"/>
      <c r="G10" s="38"/>
      <c r="H10" s="31"/>
      <c r="I10" s="32"/>
      <c r="J10" s="37">
        <f t="shared" si="2"/>
        <v>0</v>
      </c>
      <c r="K10" s="30"/>
      <c r="L10" s="39"/>
      <c r="M10" s="31"/>
      <c r="N10" s="32"/>
      <c r="O10" s="33">
        <f t="shared" si="3"/>
        <v>0</v>
      </c>
      <c r="P10" s="30"/>
    </row>
    <row r="11" ht="16.5" customHeight="1">
      <c r="A11" s="30"/>
      <c r="B11" s="39"/>
      <c r="C11" s="31"/>
      <c r="D11" s="32"/>
      <c r="E11" s="37">
        <f t="shared" si="1"/>
        <v>0</v>
      </c>
      <c r="F11" s="30"/>
      <c r="G11" s="39"/>
      <c r="H11" s="31"/>
      <c r="I11" s="32"/>
      <c r="J11" s="37">
        <f t="shared" si="2"/>
        <v>0</v>
      </c>
      <c r="K11" s="30"/>
      <c r="L11" s="39"/>
      <c r="M11" s="31"/>
      <c r="N11" s="32"/>
      <c r="O11" s="33">
        <f t="shared" si="3"/>
        <v>0</v>
      </c>
      <c r="P11" s="30"/>
    </row>
    <row r="12" ht="16.5" customHeight="1">
      <c r="A12" s="30"/>
      <c r="B12" s="39"/>
      <c r="C12" s="31"/>
      <c r="D12" s="32"/>
      <c r="E12" s="37">
        <f t="shared" si="1"/>
        <v>0</v>
      </c>
      <c r="F12" s="30"/>
      <c r="G12" s="39"/>
      <c r="H12" s="31"/>
      <c r="I12" s="32"/>
      <c r="J12" s="37">
        <f t="shared" si="2"/>
        <v>0</v>
      </c>
      <c r="K12" s="30"/>
      <c r="L12" s="39"/>
      <c r="M12" s="31"/>
      <c r="N12" s="32"/>
      <c r="O12" s="33">
        <f t="shared" si="3"/>
        <v>0</v>
      </c>
      <c r="P12" s="30"/>
    </row>
    <row r="13" ht="16.5" customHeight="1">
      <c r="A13" s="30"/>
      <c r="B13" s="39"/>
      <c r="C13" s="31"/>
      <c r="D13" s="32"/>
      <c r="E13" s="37">
        <f t="shared" si="1"/>
        <v>0</v>
      </c>
      <c r="F13" s="30"/>
      <c r="G13" s="39"/>
      <c r="H13" s="31"/>
      <c r="I13" s="32"/>
      <c r="J13" s="37">
        <f t="shared" si="2"/>
        <v>0</v>
      </c>
      <c r="K13" s="30"/>
      <c r="L13" s="39"/>
      <c r="M13" s="31"/>
      <c r="N13" s="32"/>
      <c r="O13" s="33">
        <f t="shared" si="3"/>
        <v>0</v>
      </c>
      <c r="P13" s="30"/>
    </row>
    <row r="14" ht="18.0" customHeight="1">
      <c r="A14" s="30"/>
      <c r="B14" s="39"/>
      <c r="C14" s="31"/>
      <c r="D14" s="32"/>
      <c r="E14" s="37">
        <f t="shared" si="1"/>
        <v>0</v>
      </c>
      <c r="F14" s="30"/>
      <c r="G14" s="39"/>
      <c r="H14" s="31"/>
      <c r="I14" s="32"/>
      <c r="J14" s="37">
        <f t="shared" si="2"/>
        <v>0</v>
      </c>
      <c r="K14" s="30"/>
      <c r="L14" s="39"/>
      <c r="M14" s="31"/>
      <c r="N14" s="32"/>
      <c r="O14" s="33">
        <f t="shared" si="3"/>
        <v>0</v>
      </c>
      <c r="P14" s="30"/>
    </row>
    <row r="15" ht="18.0" customHeight="1">
      <c r="A15" s="30"/>
      <c r="B15" s="39"/>
      <c r="C15" s="31"/>
      <c r="D15" s="32"/>
      <c r="E15" s="37">
        <f t="shared" si="1"/>
        <v>0</v>
      </c>
      <c r="F15" s="30"/>
      <c r="G15" s="39"/>
      <c r="H15" s="31"/>
      <c r="I15" s="32"/>
      <c r="J15" s="37">
        <f t="shared" si="2"/>
        <v>0</v>
      </c>
      <c r="K15" s="30"/>
      <c r="L15" s="39"/>
      <c r="M15" s="31"/>
      <c r="N15" s="32"/>
      <c r="O15" s="37">
        <f t="shared" si="3"/>
        <v>0</v>
      </c>
      <c r="P15" s="30"/>
    </row>
    <row r="16" ht="17.25" customHeight="1">
      <c r="A16" s="30"/>
      <c r="B16" s="39"/>
      <c r="C16" s="31"/>
      <c r="D16" s="32"/>
      <c r="E16" s="37">
        <f t="shared" si="1"/>
        <v>0</v>
      </c>
      <c r="F16" s="30"/>
      <c r="G16" s="39"/>
      <c r="H16" s="31"/>
      <c r="I16" s="32"/>
      <c r="J16" s="37">
        <f t="shared" si="2"/>
        <v>0</v>
      </c>
      <c r="K16" s="30"/>
      <c r="L16" s="39"/>
      <c r="M16" s="31"/>
      <c r="N16" s="32"/>
      <c r="O16" s="33">
        <f t="shared" si="3"/>
        <v>0</v>
      </c>
      <c r="P16" s="30"/>
    </row>
    <row r="17" ht="17.25" customHeight="1">
      <c r="A17" s="30"/>
      <c r="B17" s="40"/>
      <c r="C17" s="41"/>
      <c r="D17" s="32"/>
      <c r="E17" s="37">
        <f t="shared" si="1"/>
        <v>0</v>
      </c>
      <c r="F17" s="30"/>
      <c r="G17" s="40"/>
      <c r="H17" s="41"/>
      <c r="I17" s="32"/>
      <c r="J17" s="37">
        <f t="shared" si="2"/>
        <v>0</v>
      </c>
      <c r="K17" s="30"/>
      <c r="L17" s="40"/>
      <c r="M17" s="41"/>
      <c r="N17" s="32"/>
      <c r="O17" s="33">
        <f t="shared" si="3"/>
        <v>0</v>
      </c>
      <c r="P17" s="30"/>
    </row>
    <row r="18" ht="18.0" customHeight="1">
      <c r="A18" s="30"/>
      <c r="B18" s="40"/>
      <c r="C18" s="41"/>
      <c r="D18" s="32"/>
      <c r="E18" s="37">
        <f t="shared" si="1"/>
        <v>0</v>
      </c>
      <c r="F18" s="30"/>
      <c r="G18" s="40"/>
      <c r="H18" s="41"/>
      <c r="I18" s="32"/>
      <c r="J18" s="37">
        <f t="shared" si="2"/>
        <v>0</v>
      </c>
      <c r="K18" s="30"/>
      <c r="L18" s="40"/>
      <c r="M18" s="41"/>
      <c r="N18" s="32"/>
      <c r="O18" s="33">
        <f t="shared" si="3"/>
        <v>0</v>
      </c>
      <c r="P18" s="30"/>
    </row>
    <row r="19" ht="17.25" customHeight="1">
      <c r="A19" s="30"/>
      <c r="B19" s="40"/>
      <c r="C19" s="41"/>
      <c r="D19" s="32"/>
      <c r="E19" s="37">
        <f t="shared" si="1"/>
        <v>0</v>
      </c>
      <c r="F19" s="30"/>
      <c r="G19" s="40"/>
      <c r="H19" s="41"/>
      <c r="I19" s="32"/>
      <c r="J19" s="37">
        <f t="shared" si="2"/>
        <v>0</v>
      </c>
      <c r="K19" s="30"/>
      <c r="L19" s="40"/>
      <c r="M19" s="41"/>
      <c r="N19" s="32"/>
      <c r="O19" s="33">
        <f t="shared" si="3"/>
        <v>0</v>
      </c>
      <c r="P19" s="30"/>
    </row>
    <row r="20" ht="15.0" customHeight="1">
      <c r="A20" s="30"/>
      <c r="B20" s="40"/>
      <c r="C20" s="41"/>
      <c r="D20" s="32"/>
      <c r="E20" s="37">
        <f t="shared" si="1"/>
        <v>0</v>
      </c>
      <c r="F20" s="30"/>
      <c r="G20" s="40"/>
      <c r="H20" s="41"/>
      <c r="I20" s="32"/>
      <c r="J20" s="37">
        <f t="shared" si="2"/>
        <v>0</v>
      </c>
      <c r="K20" s="30"/>
      <c r="L20" s="40"/>
      <c r="M20" s="41"/>
      <c r="N20" s="32"/>
      <c r="O20" s="33">
        <f t="shared" si="3"/>
        <v>0</v>
      </c>
      <c r="P20" s="30"/>
    </row>
    <row r="21" ht="18.75" customHeight="1">
      <c r="A21" s="30"/>
      <c r="B21" s="39"/>
      <c r="C21" s="31"/>
      <c r="D21" s="32"/>
      <c r="E21" s="37">
        <f t="shared" si="1"/>
        <v>0</v>
      </c>
      <c r="F21" s="30"/>
      <c r="G21" s="39"/>
      <c r="H21" s="31"/>
      <c r="I21" s="32"/>
      <c r="J21" s="37">
        <f t="shared" si="2"/>
        <v>0</v>
      </c>
      <c r="K21" s="30"/>
      <c r="L21" s="39"/>
      <c r="M21" s="31"/>
      <c r="N21" s="32"/>
      <c r="O21" s="33">
        <f t="shared" si="3"/>
        <v>0</v>
      </c>
      <c r="P21" s="30"/>
    </row>
    <row r="22" ht="18.0" customHeight="1">
      <c r="A22" s="30"/>
      <c r="B22" s="39"/>
      <c r="C22" s="31"/>
      <c r="D22" s="32"/>
      <c r="E22" s="37">
        <f t="shared" si="1"/>
        <v>0</v>
      </c>
      <c r="F22" s="30"/>
      <c r="G22" s="39"/>
      <c r="H22" s="31"/>
      <c r="I22" s="32"/>
      <c r="J22" s="37">
        <f t="shared" si="2"/>
        <v>0</v>
      </c>
      <c r="K22" s="30"/>
      <c r="L22" s="39"/>
      <c r="M22" s="31"/>
      <c r="N22" s="32"/>
      <c r="O22" s="33">
        <f t="shared" si="3"/>
        <v>0</v>
      </c>
      <c r="P22" s="30"/>
    </row>
    <row r="23" ht="16.5" customHeight="1">
      <c r="A23" s="30"/>
      <c r="B23" s="39"/>
      <c r="C23" s="31"/>
      <c r="D23" s="32"/>
      <c r="E23" s="37">
        <f t="shared" si="1"/>
        <v>0</v>
      </c>
      <c r="F23" s="30"/>
      <c r="G23" s="39"/>
      <c r="H23" s="31"/>
      <c r="I23" s="32"/>
      <c r="J23" s="37">
        <f t="shared" si="2"/>
        <v>0</v>
      </c>
      <c r="K23" s="30"/>
      <c r="L23" s="39"/>
      <c r="M23" s="31"/>
      <c r="N23" s="32"/>
      <c r="O23" s="33">
        <f t="shared" si="3"/>
        <v>0</v>
      </c>
      <c r="P23" s="30"/>
    </row>
    <row r="24" ht="15.75" customHeight="1">
      <c r="A24" s="30"/>
      <c r="B24" s="39"/>
      <c r="C24" s="31"/>
      <c r="D24" s="32"/>
      <c r="E24" s="37">
        <f t="shared" si="1"/>
        <v>0</v>
      </c>
      <c r="F24" s="30"/>
      <c r="G24" s="39"/>
      <c r="H24" s="31"/>
      <c r="I24" s="32"/>
      <c r="J24" s="37">
        <f t="shared" si="2"/>
        <v>0</v>
      </c>
      <c r="K24" s="30"/>
      <c r="L24" s="39"/>
      <c r="M24" s="31"/>
      <c r="N24" s="32"/>
      <c r="O24" s="33">
        <f t="shared" si="3"/>
        <v>0</v>
      </c>
      <c r="P24" s="30"/>
    </row>
    <row r="25" ht="16.5" customHeight="1">
      <c r="A25" s="30"/>
      <c r="B25" s="39"/>
      <c r="C25" s="31"/>
      <c r="D25" s="32"/>
      <c r="E25" s="37">
        <f t="shared" si="1"/>
        <v>0</v>
      </c>
      <c r="F25" s="30"/>
      <c r="G25" s="39"/>
      <c r="H25" s="31"/>
      <c r="I25" s="32"/>
      <c r="J25" s="37">
        <f t="shared" si="2"/>
        <v>0</v>
      </c>
      <c r="K25" s="30"/>
      <c r="L25" s="39"/>
      <c r="M25" s="31"/>
      <c r="N25" s="32"/>
      <c r="O25" s="33">
        <f t="shared" si="3"/>
        <v>0</v>
      </c>
      <c r="P25" s="30"/>
    </row>
    <row r="26" ht="15.0" customHeight="1">
      <c r="A26" s="30"/>
      <c r="B26" s="170"/>
      <c r="C26" s="171"/>
      <c r="D26" s="172"/>
      <c r="E26" s="173">
        <f t="shared" si="1"/>
        <v>0</v>
      </c>
      <c r="F26" s="30"/>
      <c r="G26" s="170"/>
      <c r="H26" s="171"/>
      <c r="I26" s="172"/>
      <c r="J26" s="173">
        <f t="shared" si="2"/>
        <v>0</v>
      </c>
      <c r="K26" s="30"/>
      <c r="L26" s="170"/>
      <c r="M26" s="171"/>
      <c r="N26" s="172"/>
      <c r="O26" s="174">
        <f t="shared" si="3"/>
        <v>0</v>
      </c>
      <c r="P26" s="30"/>
    </row>
    <row r="27" ht="24.0" customHeight="1">
      <c r="A27" s="42"/>
      <c r="B27" s="43" t="s">
        <v>27</v>
      </c>
      <c r="C27" s="44"/>
      <c r="D27" s="45"/>
      <c r="E27" s="46">
        <f>SUM(E5:E10)</f>
        <v>0</v>
      </c>
      <c r="F27" s="30"/>
      <c r="G27" s="43" t="s">
        <v>27</v>
      </c>
      <c r="H27" s="44"/>
      <c r="I27" s="47"/>
      <c r="J27" s="48">
        <f>SUM(J5:J10)</f>
        <v>0</v>
      </c>
      <c r="K27" s="30"/>
      <c r="L27" s="43" t="s">
        <v>27</v>
      </c>
      <c r="M27" s="44"/>
      <c r="N27" s="47"/>
      <c r="O27" s="48">
        <f>SUM(O5:O10)</f>
        <v>0</v>
      </c>
      <c r="P27" s="30"/>
    </row>
    <row r="28" ht="12.75" customHeight="1">
      <c r="A28" s="49"/>
      <c r="B28" s="50"/>
      <c r="C28" s="50"/>
      <c r="D28" s="50"/>
      <c r="E28" s="50"/>
      <c r="F28" s="51"/>
      <c r="G28" s="50"/>
      <c r="H28" s="50"/>
      <c r="I28" s="50"/>
      <c r="J28" s="50"/>
      <c r="K28" s="52"/>
      <c r="L28" s="50"/>
      <c r="M28" s="50"/>
      <c r="N28" s="50"/>
      <c r="O28" s="50"/>
      <c r="P28" s="53"/>
    </row>
    <row r="29" ht="27.75" customHeight="1">
      <c r="A29" s="54"/>
      <c r="B29" s="55" t="s">
        <v>28</v>
      </c>
      <c r="C29" s="56"/>
      <c r="D29" s="57"/>
      <c r="E29" s="58" t="s">
        <v>7</v>
      </c>
      <c r="F29" s="59"/>
      <c r="G29" s="55" t="s">
        <v>28</v>
      </c>
      <c r="H29" s="56"/>
      <c r="I29" s="57"/>
      <c r="J29" s="58" t="s">
        <v>7</v>
      </c>
      <c r="K29" s="60"/>
      <c r="L29" s="55" t="s">
        <v>28</v>
      </c>
      <c r="M29" s="56"/>
      <c r="N29" s="57"/>
      <c r="O29" s="58" t="s">
        <v>7</v>
      </c>
      <c r="P29" s="61"/>
    </row>
    <row r="30" ht="15.75" customHeight="1">
      <c r="A30" s="1"/>
      <c r="B30" s="62" t="str">
        <f>$B$40</f>
        <v>DIVISI A</v>
      </c>
      <c r="C30" s="63"/>
      <c r="D30" s="64"/>
      <c r="E30" s="65">
        <f>E77</f>
        <v>0</v>
      </c>
      <c r="F30" s="66"/>
      <c r="G30" s="62" t="str">
        <f t="shared" ref="G30:G35" si="4">B30</f>
        <v>DIVISI A</v>
      </c>
      <c r="H30" s="63"/>
      <c r="I30" s="64"/>
      <c r="J30" s="67">
        <f>J77</f>
        <v>0</v>
      </c>
      <c r="K30" s="4"/>
      <c r="L30" s="62" t="str">
        <f t="shared" ref="L30:L35" si="5">G30</f>
        <v>DIVISI A</v>
      </c>
      <c r="M30" s="63"/>
      <c r="N30" s="64"/>
      <c r="O30" s="67">
        <f>O77</f>
        <v>0</v>
      </c>
      <c r="P30" s="1"/>
    </row>
    <row r="31" ht="15.75" customHeight="1">
      <c r="A31" s="1"/>
      <c r="B31" s="68" t="str">
        <f>B79</f>
        <v>#REF!</v>
      </c>
      <c r="C31" s="69"/>
      <c r="D31" s="70"/>
      <c r="E31" s="71">
        <f>E108</f>
        <v>0</v>
      </c>
      <c r="F31" s="72"/>
      <c r="G31" s="62" t="str">
        <f t="shared" si="4"/>
        <v>#REF!</v>
      </c>
      <c r="H31" s="63"/>
      <c r="I31" s="64"/>
      <c r="J31" s="73">
        <f>J108</f>
        <v>0</v>
      </c>
      <c r="K31" s="4"/>
      <c r="L31" s="62" t="str">
        <f t="shared" si="5"/>
        <v>#REF!</v>
      </c>
      <c r="M31" s="63"/>
      <c r="N31" s="64"/>
      <c r="O31" s="73">
        <f>O108</f>
        <v>0</v>
      </c>
      <c r="P31" s="1"/>
    </row>
    <row r="32" ht="15.75" customHeight="1">
      <c r="A32" s="1"/>
      <c r="B32" s="68" t="str">
        <f>B110</f>
        <v>#REF!</v>
      </c>
      <c r="C32" s="69"/>
      <c r="D32" s="70"/>
      <c r="E32" s="74">
        <f>E130</f>
        <v>0</v>
      </c>
      <c r="F32" s="72"/>
      <c r="G32" s="62" t="str">
        <f t="shared" si="4"/>
        <v>#REF!</v>
      </c>
      <c r="H32" s="63"/>
      <c r="I32" s="64"/>
      <c r="J32" s="75">
        <f>J130</f>
        <v>0</v>
      </c>
      <c r="K32" s="4"/>
      <c r="L32" s="62" t="str">
        <f t="shared" si="5"/>
        <v>#REF!</v>
      </c>
      <c r="M32" s="63"/>
      <c r="N32" s="64"/>
      <c r="O32" s="75">
        <f>O130</f>
        <v>0</v>
      </c>
      <c r="P32" s="1"/>
    </row>
    <row r="33" ht="15.75" customHeight="1">
      <c r="A33" s="1"/>
      <c r="B33" s="68" t="str">
        <f>B132</f>
        <v>#REF!</v>
      </c>
      <c r="C33" s="69"/>
      <c r="D33" s="70"/>
      <c r="E33" s="76">
        <f>E145</f>
        <v>0</v>
      </c>
      <c r="F33" s="72"/>
      <c r="G33" s="62" t="str">
        <f t="shared" si="4"/>
        <v>#REF!</v>
      </c>
      <c r="H33" s="63"/>
      <c r="I33" s="64"/>
      <c r="J33" s="77">
        <f>J145</f>
        <v>0</v>
      </c>
      <c r="K33" s="4"/>
      <c r="L33" s="62" t="str">
        <f t="shared" si="5"/>
        <v>#REF!</v>
      </c>
      <c r="M33" s="63"/>
      <c r="N33" s="64"/>
      <c r="O33" s="77">
        <f>O145</f>
        <v>0</v>
      </c>
      <c r="P33" s="1"/>
    </row>
    <row r="34" ht="15.75" customHeight="1">
      <c r="A34" s="1"/>
      <c r="B34" s="68" t="str">
        <f>B147</f>
        <v>#REF!</v>
      </c>
      <c r="C34" s="69"/>
      <c r="D34" s="70"/>
      <c r="E34" s="78">
        <f>E158</f>
        <v>0</v>
      </c>
      <c r="F34" s="72"/>
      <c r="G34" s="62" t="str">
        <f t="shared" si="4"/>
        <v>#REF!</v>
      </c>
      <c r="H34" s="63"/>
      <c r="I34" s="64"/>
      <c r="J34" s="79">
        <f>J158</f>
        <v>0</v>
      </c>
      <c r="K34" s="4"/>
      <c r="L34" s="62" t="str">
        <f t="shared" si="5"/>
        <v>#REF!</v>
      </c>
      <c r="M34" s="63"/>
      <c r="N34" s="64"/>
      <c r="O34" s="79">
        <f>O158</f>
        <v>0</v>
      </c>
      <c r="P34" s="1"/>
    </row>
    <row r="35" ht="15.75" customHeight="1">
      <c r="A35" s="1"/>
      <c r="B35" s="80" t="str">
        <f>B160</f>
        <v>#REF!</v>
      </c>
      <c r="C35" s="81"/>
      <c r="D35" s="82"/>
      <c r="E35" s="83">
        <f>E171</f>
        <v>0</v>
      </c>
      <c r="F35" s="72"/>
      <c r="G35" s="62" t="str">
        <f t="shared" si="4"/>
        <v>#REF!</v>
      </c>
      <c r="H35" s="63"/>
      <c r="I35" s="64"/>
      <c r="J35" s="84">
        <f>J171</f>
        <v>0</v>
      </c>
      <c r="K35" s="4"/>
      <c r="L35" s="62" t="str">
        <f t="shared" si="5"/>
        <v>#REF!</v>
      </c>
      <c r="M35" s="63"/>
      <c r="N35" s="64"/>
      <c r="O35" s="84">
        <f>O171</f>
        <v>0</v>
      </c>
      <c r="P35" s="1"/>
    </row>
    <row r="36" ht="18.75" customHeight="1">
      <c r="A36" s="85"/>
      <c r="B36" s="86" t="s">
        <v>29</v>
      </c>
      <c r="C36" s="87"/>
      <c r="D36" s="88"/>
      <c r="E36" s="89">
        <f>SUM(E30:E35)</f>
        <v>0</v>
      </c>
      <c r="F36" s="66"/>
      <c r="G36" s="86" t="s">
        <v>29</v>
      </c>
      <c r="H36" s="87"/>
      <c r="I36" s="88"/>
      <c r="J36" s="89">
        <f>SUM(J30:J35)</f>
        <v>0</v>
      </c>
      <c r="K36" s="85"/>
      <c r="L36" s="86" t="s">
        <v>29</v>
      </c>
      <c r="M36" s="87"/>
      <c r="N36" s="88"/>
      <c r="O36" s="89">
        <f>SUM(O30:O35)</f>
        <v>0</v>
      </c>
      <c r="P36" s="1"/>
    </row>
    <row r="37" ht="24.0" customHeight="1">
      <c r="A37" s="85"/>
      <c r="B37" s="90" t="s">
        <v>30</v>
      </c>
      <c r="C37" s="91"/>
      <c r="D37" s="92"/>
      <c r="E37" s="93">
        <f>E27-E36</f>
        <v>0</v>
      </c>
      <c r="F37" s="94"/>
      <c r="G37" s="90" t="s">
        <v>30</v>
      </c>
      <c r="H37" s="91"/>
      <c r="I37" s="92"/>
      <c r="J37" s="93">
        <f>J27-J36</f>
        <v>0</v>
      </c>
      <c r="K37" s="95"/>
      <c r="L37" s="90" t="s">
        <v>30</v>
      </c>
      <c r="M37" s="91"/>
      <c r="N37" s="92"/>
      <c r="O37" s="93">
        <f>O27-O36</f>
        <v>0</v>
      </c>
      <c r="P37" s="85"/>
    </row>
    <row r="38" ht="18.75" customHeight="1">
      <c r="A38" s="1"/>
      <c r="B38" s="96"/>
      <c r="C38" s="96"/>
      <c r="D38" s="96"/>
      <c r="E38" s="97"/>
      <c r="F38" s="66"/>
      <c r="G38" s="1"/>
      <c r="H38" s="1"/>
      <c r="I38" s="1"/>
      <c r="J38" s="98"/>
      <c r="K38" s="1"/>
      <c r="L38" s="96"/>
      <c r="M38" s="96"/>
      <c r="N38" s="96"/>
      <c r="O38" s="97"/>
      <c r="P38" s="1"/>
    </row>
    <row r="39" ht="27.0" customHeight="1">
      <c r="A39" s="4"/>
      <c r="B39" s="99" t="s">
        <v>31</v>
      </c>
      <c r="C39" s="87"/>
      <c r="D39" s="87"/>
      <c r="E39" s="88"/>
      <c r="F39" s="66"/>
      <c r="G39" s="99" t="s">
        <v>31</v>
      </c>
      <c r="H39" s="87"/>
      <c r="I39" s="87"/>
      <c r="J39" s="88"/>
      <c r="K39" s="4"/>
      <c r="L39" s="99" t="s">
        <v>31</v>
      </c>
      <c r="M39" s="87"/>
      <c r="N39" s="87"/>
      <c r="O39" s="88"/>
      <c r="P39" s="100"/>
    </row>
    <row r="40" ht="23.25" customHeight="1">
      <c r="A40" s="101" t="s">
        <v>32</v>
      </c>
      <c r="B40" s="178" t="s">
        <v>168</v>
      </c>
      <c r="C40" s="103" t="s">
        <v>5</v>
      </c>
      <c r="D40" s="103" t="s">
        <v>6</v>
      </c>
      <c r="E40" s="104" t="s">
        <v>7</v>
      </c>
      <c r="F40" s="66"/>
      <c r="G40" s="102" t="str">
        <f>B40</f>
        <v>DIVISI A</v>
      </c>
      <c r="H40" s="103" t="s">
        <v>5</v>
      </c>
      <c r="I40" s="103" t="s">
        <v>6</v>
      </c>
      <c r="J40" s="104" t="s">
        <v>7</v>
      </c>
      <c r="K40" s="1"/>
      <c r="L40" s="102" t="str">
        <f>G40</f>
        <v>DIVISI A</v>
      </c>
      <c r="M40" s="103" t="s">
        <v>5</v>
      </c>
      <c r="N40" s="103" t="s">
        <v>6</v>
      </c>
      <c r="O40" s="104" t="s">
        <v>7</v>
      </c>
      <c r="P40" s="1"/>
    </row>
    <row r="41" ht="15.75" customHeight="1">
      <c r="A41" s="4"/>
      <c r="B41" s="105"/>
      <c r="C41" s="106"/>
      <c r="D41" s="107"/>
      <c r="E41" s="108">
        <f t="shared" ref="E41:E69" si="6">C41*D41</f>
        <v>0</v>
      </c>
      <c r="F41" s="66" t="str">
        <f t="shared" ref="F41:F42" si="7">G41</f>
        <v/>
      </c>
      <c r="G41" s="105"/>
      <c r="H41" s="106"/>
      <c r="I41" s="107"/>
      <c r="J41" s="108">
        <f t="shared" ref="J41:J76" si="8">H41*I41</f>
        <v>0</v>
      </c>
      <c r="K41" s="4"/>
      <c r="L41" s="105"/>
      <c r="M41" s="106"/>
      <c r="N41" s="107"/>
      <c r="O41" s="109">
        <f t="shared" ref="O41:O69" si="9">M41*N41</f>
        <v>0</v>
      </c>
      <c r="P41" s="1"/>
    </row>
    <row r="42" ht="15.75" customHeight="1">
      <c r="A42" s="4"/>
      <c r="B42" s="110"/>
      <c r="C42" s="106"/>
      <c r="D42" s="107"/>
      <c r="E42" s="111">
        <f t="shared" si="6"/>
        <v>0</v>
      </c>
      <c r="F42" s="66" t="str">
        <f t="shared" si="7"/>
        <v/>
      </c>
      <c r="G42" s="110"/>
      <c r="H42" s="106"/>
      <c r="I42" s="107"/>
      <c r="J42" s="109">
        <f t="shared" si="8"/>
        <v>0</v>
      </c>
      <c r="K42" s="4"/>
      <c r="L42" s="110"/>
      <c r="M42" s="106"/>
      <c r="N42" s="107"/>
      <c r="O42" s="109">
        <f t="shared" si="9"/>
        <v>0</v>
      </c>
      <c r="P42" s="1"/>
    </row>
    <row r="43" ht="15.75" customHeight="1">
      <c r="A43" s="4"/>
      <c r="B43" s="110"/>
      <c r="C43" s="106"/>
      <c r="D43" s="107"/>
      <c r="E43" s="111">
        <f t="shared" si="6"/>
        <v>0</v>
      </c>
      <c r="F43" s="66"/>
      <c r="G43" s="110"/>
      <c r="H43" s="106"/>
      <c r="I43" s="107"/>
      <c r="J43" s="109">
        <f t="shared" si="8"/>
        <v>0</v>
      </c>
      <c r="K43" s="4"/>
      <c r="L43" s="110"/>
      <c r="M43" s="106"/>
      <c r="N43" s="107"/>
      <c r="O43" s="109">
        <f t="shared" si="9"/>
        <v>0</v>
      </c>
      <c r="P43" s="1"/>
    </row>
    <row r="44" ht="15.75" customHeight="1">
      <c r="A44" s="4"/>
      <c r="B44" s="110"/>
      <c r="C44" s="106"/>
      <c r="D44" s="107"/>
      <c r="E44" s="109">
        <f t="shared" si="6"/>
        <v>0</v>
      </c>
      <c r="F44" s="66" t="str">
        <f t="shared" ref="F44:F45" si="10">G44</f>
        <v/>
      </c>
      <c r="G44" s="110"/>
      <c r="H44" s="106"/>
      <c r="I44" s="107"/>
      <c r="J44" s="109">
        <f t="shared" si="8"/>
        <v>0</v>
      </c>
      <c r="K44" s="4"/>
      <c r="L44" s="110"/>
      <c r="M44" s="106"/>
      <c r="N44" s="107"/>
      <c r="O44" s="109">
        <f t="shared" si="9"/>
        <v>0</v>
      </c>
      <c r="P44" s="1"/>
    </row>
    <row r="45" ht="15.75" customHeight="1">
      <c r="A45" s="4"/>
      <c r="B45" s="110"/>
      <c r="C45" s="106"/>
      <c r="D45" s="107"/>
      <c r="E45" s="109">
        <f t="shared" si="6"/>
        <v>0</v>
      </c>
      <c r="F45" s="66" t="str">
        <f t="shared" si="10"/>
        <v/>
      </c>
      <c r="G45" s="110"/>
      <c r="H45" s="106"/>
      <c r="I45" s="107"/>
      <c r="J45" s="109">
        <f t="shared" si="8"/>
        <v>0</v>
      </c>
      <c r="K45" s="4"/>
      <c r="L45" s="110"/>
      <c r="M45" s="106"/>
      <c r="N45" s="107"/>
      <c r="O45" s="109">
        <f t="shared" si="9"/>
        <v>0</v>
      </c>
      <c r="P45" s="1"/>
    </row>
    <row r="46" ht="15.75" customHeight="1">
      <c r="A46" s="4"/>
      <c r="B46" s="110"/>
      <c r="C46" s="106"/>
      <c r="D46" s="107"/>
      <c r="E46" s="109">
        <f t="shared" si="6"/>
        <v>0</v>
      </c>
      <c r="F46" s="66"/>
      <c r="G46" s="110"/>
      <c r="H46" s="106"/>
      <c r="I46" s="107"/>
      <c r="J46" s="109">
        <f t="shared" si="8"/>
        <v>0</v>
      </c>
      <c r="K46" s="4"/>
      <c r="L46" s="110"/>
      <c r="M46" s="106"/>
      <c r="N46" s="107"/>
      <c r="O46" s="109">
        <f t="shared" si="9"/>
        <v>0</v>
      </c>
      <c r="P46" s="1"/>
    </row>
    <row r="47" ht="15.75" customHeight="1">
      <c r="A47" s="4"/>
      <c r="B47" s="110"/>
      <c r="C47" s="106"/>
      <c r="D47" s="107"/>
      <c r="E47" s="109">
        <f t="shared" si="6"/>
        <v>0</v>
      </c>
      <c r="F47" s="66"/>
      <c r="G47" s="110"/>
      <c r="H47" s="106"/>
      <c r="I47" s="107"/>
      <c r="J47" s="109">
        <f t="shared" si="8"/>
        <v>0</v>
      </c>
      <c r="K47" s="4"/>
      <c r="L47" s="110"/>
      <c r="M47" s="106"/>
      <c r="N47" s="107"/>
      <c r="O47" s="109">
        <f t="shared" si="9"/>
        <v>0</v>
      </c>
      <c r="P47" s="1"/>
    </row>
    <row r="48" ht="15.75" customHeight="1">
      <c r="A48" s="4"/>
      <c r="B48" s="110"/>
      <c r="C48" s="106"/>
      <c r="D48" s="107"/>
      <c r="E48" s="109">
        <f t="shared" si="6"/>
        <v>0</v>
      </c>
      <c r="F48" s="66"/>
      <c r="G48" s="110"/>
      <c r="H48" s="106"/>
      <c r="I48" s="107"/>
      <c r="J48" s="109">
        <f t="shared" si="8"/>
        <v>0</v>
      </c>
      <c r="K48" s="4"/>
      <c r="L48" s="110"/>
      <c r="M48" s="106"/>
      <c r="N48" s="107"/>
      <c r="O48" s="109">
        <f t="shared" si="9"/>
        <v>0</v>
      </c>
      <c r="P48" s="1"/>
    </row>
    <row r="49" ht="15.75" customHeight="1">
      <c r="A49" s="4"/>
      <c r="B49" s="110"/>
      <c r="C49" s="106"/>
      <c r="D49" s="107"/>
      <c r="E49" s="109">
        <f t="shared" si="6"/>
        <v>0</v>
      </c>
      <c r="F49" s="66"/>
      <c r="G49" s="110"/>
      <c r="H49" s="106"/>
      <c r="I49" s="107"/>
      <c r="J49" s="109">
        <f t="shared" si="8"/>
        <v>0</v>
      </c>
      <c r="K49" s="4"/>
      <c r="L49" s="110"/>
      <c r="M49" s="106"/>
      <c r="N49" s="107"/>
      <c r="O49" s="109">
        <f t="shared" si="9"/>
        <v>0</v>
      </c>
      <c r="P49" s="1"/>
    </row>
    <row r="50" ht="15.75" customHeight="1">
      <c r="A50" s="4"/>
      <c r="B50" s="110"/>
      <c r="C50" s="106"/>
      <c r="D50" s="107"/>
      <c r="E50" s="109">
        <f t="shared" si="6"/>
        <v>0</v>
      </c>
      <c r="F50" s="66"/>
      <c r="G50" s="110"/>
      <c r="H50" s="106"/>
      <c r="I50" s="107"/>
      <c r="J50" s="109">
        <f t="shared" si="8"/>
        <v>0</v>
      </c>
      <c r="K50" s="4"/>
      <c r="L50" s="110"/>
      <c r="M50" s="106"/>
      <c r="N50" s="107"/>
      <c r="O50" s="109">
        <f t="shared" si="9"/>
        <v>0</v>
      </c>
      <c r="P50" s="1"/>
    </row>
    <row r="51" ht="15.75" customHeight="1">
      <c r="A51" s="4"/>
      <c r="B51" s="110"/>
      <c r="C51" s="106"/>
      <c r="D51" s="107"/>
      <c r="E51" s="109">
        <f t="shared" si="6"/>
        <v>0</v>
      </c>
      <c r="F51" s="66"/>
      <c r="G51" s="110"/>
      <c r="H51" s="106"/>
      <c r="I51" s="107"/>
      <c r="J51" s="109">
        <f t="shared" si="8"/>
        <v>0</v>
      </c>
      <c r="K51" s="4"/>
      <c r="L51" s="110"/>
      <c r="M51" s="106"/>
      <c r="N51" s="107"/>
      <c r="O51" s="109">
        <f t="shared" si="9"/>
        <v>0</v>
      </c>
      <c r="P51" s="1"/>
    </row>
    <row r="52" ht="15.75" customHeight="1">
      <c r="A52" s="4"/>
      <c r="B52" s="110"/>
      <c r="C52" s="106"/>
      <c r="D52" s="107"/>
      <c r="E52" s="109">
        <f t="shared" si="6"/>
        <v>0</v>
      </c>
      <c r="F52" s="66"/>
      <c r="G52" s="110"/>
      <c r="H52" s="106"/>
      <c r="I52" s="107"/>
      <c r="J52" s="109">
        <f t="shared" si="8"/>
        <v>0</v>
      </c>
      <c r="K52" s="4"/>
      <c r="L52" s="110"/>
      <c r="M52" s="106"/>
      <c r="N52" s="107"/>
      <c r="O52" s="109">
        <f t="shared" si="9"/>
        <v>0</v>
      </c>
      <c r="P52" s="1"/>
    </row>
    <row r="53" ht="15.75" customHeight="1">
      <c r="A53" s="4"/>
      <c r="B53" s="110"/>
      <c r="C53" s="106"/>
      <c r="D53" s="107"/>
      <c r="E53" s="109">
        <f t="shared" si="6"/>
        <v>0</v>
      </c>
      <c r="F53" s="66"/>
      <c r="G53" s="110"/>
      <c r="H53" s="106"/>
      <c r="I53" s="107"/>
      <c r="J53" s="109">
        <f t="shared" si="8"/>
        <v>0</v>
      </c>
      <c r="K53" s="4"/>
      <c r="L53" s="110"/>
      <c r="M53" s="106"/>
      <c r="N53" s="107"/>
      <c r="O53" s="109">
        <f t="shared" si="9"/>
        <v>0</v>
      </c>
      <c r="P53" s="1"/>
    </row>
    <row r="54" ht="15.75" customHeight="1">
      <c r="A54" s="4"/>
      <c r="B54" s="110"/>
      <c r="C54" s="106"/>
      <c r="D54" s="107"/>
      <c r="E54" s="109">
        <f t="shared" si="6"/>
        <v>0</v>
      </c>
      <c r="F54" s="66"/>
      <c r="G54" s="110"/>
      <c r="H54" s="106"/>
      <c r="I54" s="107"/>
      <c r="J54" s="109">
        <f t="shared" si="8"/>
        <v>0</v>
      </c>
      <c r="K54" s="4"/>
      <c r="L54" s="110"/>
      <c r="M54" s="106"/>
      <c r="N54" s="107"/>
      <c r="O54" s="109">
        <f t="shared" si="9"/>
        <v>0</v>
      </c>
      <c r="P54" s="1"/>
    </row>
    <row r="55" ht="15.75" customHeight="1">
      <c r="A55" s="4"/>
      <c r="B55" s="110"/>
      <c r="C55" s="106"/>
      <c r="D55" s="107"/>
      <c r="E55" s="109">
        <f t="shared" si="6"/>
        <v>0</v>
      </c>
      <c r="F55" s="66"/>
      <c r="G55" s="110"/>
      <c r="H55" s="106"/>
      <c r="I55" s="107"/>
      <c r="J55" s="109">
        <f t="shared" si="8"/>
        <v>0</v>
      </c>
      <c r="K55" s="4"/>
      <c r="L55" s="110"/>
      <c r="M55" s="106"/>
      <c r="N55" s="107"/>
      <c r="O55" s="109">
        <f t="shared" si="9"/>
        <v>0</v>
      </c>
      <c r="P55" s="1"/>
    </row>
    <row r="56" ht="15.75" customHeight="1">
      <c r="A56" s="4"/>
      <c r="B56" s="110"/>
      <c r="C56" s="106"/>
      <c r="D56" s="107"/>
      <c r="E56" s="109">
        <f t="shared" si="6"/>
        <v>0</v>
      </c>
      <c r="F56" s="66"/>
      <c r="G56" s="110"/>
      <c r="H56" s="106"/>
      <c r="I56" s="107"/>
      <c r="J56" s="109">
        <f t="shared" si="8"/>
        <v>0</v>
      </c>
      <c r="K56" s="4"/>
      <c r="L56" s="110"/>
      <c r="M56" s="106"/>
      <c r="N56" s="107"/>
      <c r="O56" s="109">
        <f t="shared" si="9"/>
        <v>0</v>
      </c>
      <c r="P56" s="1"/>
    </row>
    <row r="57" ht="15.75" customHeight="1">
      <c r="A57" s="4"/>
      <c r="B57" s="110"/>
      <c r="C57" s="106"/>
      <c r="D57" s="107"/>
      <c r="E57" s="109">
        <f t="shared" si="6"/>
        <v>0</v>
      </c>
      <c r="F57" s="66"/>
      <c r="G57" s="110"/>
      <c r="H57" s="106"/>
      <c r="I57" s="107"/>
      <c r="J57" s="109">
        <f t="shared" si="8"/>
        <v>0</v>
      </c>
      <c r="K57" s="4"/>
      <c r="L57" s="110"/>
      <c r="M57" s="106"/>
      <c r="N57" s="107"/>
      <c r="O57" s="109">
        <f t="shared" si="9"/>
        <v>0</v>
      </c>
      <c r="P57" s="1"/>
    </row>
    <row r="58" ht="15.75" customHeight="1">
      <c r="A58" s="4"/>
      <c r="B58" s="110"/>
      <c r="C58" s="106"/>
      <c r="D58" s="107"/>
      <c r="E58" s="109">
        <f t="shared" si="6"/>
        <v>0</v>
      </c>
      <c r="F58" s="66"/>
      <c r="G58" s="110"/>
      <c r="H58" s="106"/>
      <c r="I58" s="107"/>
      <c r="J58" s="109">
        <f t="shared" si="8"/>
        <v>0</v>
      </c>
      <c r="K58" s="4"/>
      <c r="L58" s="110"/>
      <c r="M58" s="106"/>
      <c r="N58" s="107"/>
      <c r="O58" s="109">
        <f t="shared" si="9"/>
        <v>0</v>
      </c>
      <c r="P58" s="1"/>
    </row>
    <row r="59" ht="15.75" customHeight="1">
      <c r="A59" s="4"/>
      <c r="B59" s="110"/>
      <c r="C59" s="106"/>
      <c r="D59" s="107"/>
      <c r="E59" s="109">
        <f t="shared" si="6"/>
        <v>0</v>
      </c>
      <c r="F59" s="66"/>
      <c r="G59" s="110"/>
      <c r="H59" s="106"/>
      <c r="I59" s="107"/>
      <c r="J59" s="109">
        <f t="shared" si="8"/>
        <v>0</v>
      </c>
      <c r="K59" s="4"/>
      <c r="L59" s="110"/>
      <c r="M59" s="106"/>
      <c r="N59" s="107"/>
      <c r="O59" s="109">
        <f t="shared" si="9"/>
        <v>0</v>
      </c>
      <c r="P59" s="1"/>
    </row>
    <row r="60" ht="15.75" customHeight="1">
      <c r="A60" s="4"/>
      <c r="B60" s="110"/>
      <c r="C60" s="106"/>
      <c r="D60" s="107"/>
      <c r="E60" s="109">
        <f t="shared" si="6"/>
        <v>0</v>
      </c>
      <c r="F60" s="66"/>
      <c r="G60" s="110"/>
      <c r="H60" s="106"/>
      <c r="I60" s="107"/>
      <c r="J60" s="109">
        <f t="shared" si="8"/>
        <v>0</v>
      </c>
      <c r="K60" s="4"/>
      <c r="L60" s="110"/>
      <c r="M60" s="106"/>
      <c r="N60" s="107"/>
      <c r="O60" s="109">
        <f t="shared" si="9"/>
        <v>0</v>
      </c>
      <c r="P60" s="1"/>
    </row>
    <row r="61" ht="15.75" customHeight="1">
      <c r="A61" s="4"/>
      <c r="B61" s="110"/>
      <c r="C61" s="106"/>
      <c r="D61" s="107"/>
      <c r="E61" s="109">
        <f t="shared" si="6"/>
        <v>0</v>
      </c>
      <c r="F61" s="66"/>
      <c r="G61" s="110"/>
      <c r="H61" s="106"/>
      <c r="I61" s="107"/>
      <c r="J61" s="109">
        <f t="shared" si="8"/>
        <v>0</v>
      </c>
      <c r="K61" s="4"/>
      <c r="L61" s="110"/>
      <c r="M61" s="106"/>
      <c r="N61" s="107"/>
      <c r="O61" s="109">
        <f t="shared" si="9"/>
        <v>0</v>
      </c>
      <c r="P61" s="1"/>
    </row>
    <row r="62" ht="15.75" customHeight="1">
      <c r="A62" s="4"/>
      <c r="B62" s="110"/>
      <c r="C62" s="106"/>
      <c r="D62" s="107"/>
      <c r="E62" s="109">
        <f t="shared" si="6"/>
        <v>0</v>
      </c>
      <c r="F62" s="66"/>
      <c r="G62" s="110"/>
      <c r="H62" s="106"/>
      <c r="I62" s="107"/>
      <c r="J62" s="109">
        <f t="shared" si="8"/>
        <v>0</v>
      </c>
      <c r="K62" s="4"/>
      <c r="L62" s="110"/>
      <c r="M62" s="106"/>
      <c r="N62" s="107"/>
      <c r="O62" s="109">
        <f t="shared" si="9"/>
        <v>0</v>
      </c>
      <c r="P62" s="1"/>
    </row>
    <row r="63" ht="15.75" customHeight="1">
      <c r="A63" s="4"/>
      <c r="B63" s="110"/>
      <c r="C63" s="106"/>
      <c r="D63" s="107"/>
      <c r="E63" s="109">
        <f t="shared" si="6"/>
        <v>0</v>
      </c>
      <c r="F63" s="66"/>
      <c r="G63" s="110"/>
      <c r="H63" s="106"/>
      <c r="I63" s="107"/>
      <c r="J63" s="109">
        <f t="shared" si="8"/>
        <v>0</v>
      </c>
      <c r="K63" s="4"/>
      <c r="L63" s="110"/>
      <c r="M63" s="106"/>
      <c r="N63" s="107"/>
      <c r="O63" s="109">
        <f t="shared" si="9"/>
        <v>0</v>
      </c>
      <c r="P63" s="1"/>
    </row>
    <row r="64" ht="15.75" customHeight="1">
      <c r="A64" s="4"/>
      <c r="B64" s="110"/>
      <c r="C64" s="106"/>
      <c r="D64" s="107"/>
      <c r="E64" s="109">
        <f t="shared" si="6"/>
        <v>0</v>
      </c>
      <c r="F64" s="66"/>
      <c r="G64" s="110"/>
      <c r="H64" s="106"/>
      <c r="I64" s="107"/>
      <c r="J64" s="109">
        <f t="shared" si="8"/>
        <v>0</v>
      </c>
      <c r="K64" s="4"/>
      <c r="L64" s="110"/>
      <c r="M64" s="106"/>
      <c r="N64" s="107"/>
      <c r="O64" s="109">
        <f t="shared" si="9"/>
        <v>0</v>
      </c>
      <c r="P64" s="1"/>
    </row>
    <row r="65" ht="15.75" customHeight="1">
      <c r="A65" s="4"/>
      <c r="B65" s="110"/>
      <c r="C65" s="106"/>
      <c r="D65" s="107"/>
      <c r="E65" s="109">
        <f t="shared" si="6"/>
        <v>0</v>
      </c>
      <c r="F65" s="66"/>
      <c r="G65" s="110"/>
      <c r="H65" s="106"/>
      <c r="I65" s="107"/>
      <c r="J65" s="109">
        <f t="shared" si="8"/>
        <v>0</v>
      </c>
      <c r="K65" s="4"/>
      <c r="L65" s="110"/>
      <c r="M65" s="106"/>
      <c r="N65" s="107"/>
      <c r="O65" s="109">
        <f t="shared" si="9"/>
        <v>0</v>
      </c>
      <c r="P65" s="1"/>
    </row>
    <row r="66" ht="15.75" customHeight="1">
      <c r="A66" s="4"/>
      <c r="B66" s="110"/>
      <c r="C66" s="106"/>
      <c r="D66" s="107"/>
      <c r="E66" s="109">
        <f t="shared" si="6"/>
        <v>0</v>
      </c>
      <c r="F66" s="66"/>
      <c r="G66" s="110"/>
      <c r="H66" s="106"/>
      <c r="I66" s="107"/>
      <c r="J66" s="109">
        <f t="shared" si="8"/>
        <v>0</v>
      </c>
      <c r="K66" s="4"/>
      <c r="L66" s="110"/>
      <c r="M66" s="106"/>
      <c r="N66" s="107"/>
      <c r="O66" s="109">
        <f t="shared" si="9"/>
        <v>0</v>
      </c>
      <c r="P66" s="1"/>
    </row>
    <row r="67" ht="15.75" customHeight="1">
      <c r="A67" s="4"/>
      <c r="B67" s="110"/>
      <c r="C67" s="106"/>
      <c r="D67" s="107"/>
      <c r="E67" s="109">
        <f t="shared" si="6"/>
        <v>0</v>
      </c>
      <c r="F67" s="66"/>
      <c r="G67" s="110"/>
      <c r="H67" s="106"/>
      <c r="I67" s="107"/>
      <c r="J67" s="109">
        <f t="shared" si="8"/>
        <v>0</v>
      </c>
      <c r="K67" s="4"/>
      <c r="L67" s="110"/>
      <c r="M67" s="106"/>
      <c r="N67" s="107"/>
      <c r="O67" s="109">
        <f t="shared" si="9"/>
        <v>0</v>
      </c>
      <c r="P67" s="1"/>
    </row>
    <row r="68" ht="15.75" customHeight="1">
      <c r="A68" s="4"/>
      <c r="B68" s="110"/>
      <c r="C68" s="106"/>
      <c r="D68" s="112"/>
      <c r="E68" s="109">
        <f t="shared" si="6"/>
        <v>0</v>
      </c>
      <c r="F68" s="66"/>
      <c r="G68" s="110"/>
      <c r="H68" s="106"/>
      <c r="I68" s="107"/>
      <c r="J68" s="109">
        <f t="shared" si="8"/>
        <v>0</v>
      </c>
      <c r="K68" s="4"/>
      <c r="L68" s="110"/>
      <c r="M68" s="106"/>
      <c r="N68" s="107"/>
      <c r="O68" s="109">
        <f t="shared" si="9"/>
        <v>0</v>
      </c>
      <c r="P68" s="1"/>
    </row>
    <row r="69" ht="15.75" customHeight="1">
      <c r="A69" s="4"/>
      <c r="B69" s="110"/>
      <c r="C69" s="106"/>
      <c r="D69" s="107"/>
      <c r="E69" s="109">
        <f t="shared" si="6"/>
        <v>0</v>
      </c>
      <c r="F69" s="66"/>
      <c r="G69" s="110"/>
      <c r="H69" s="106"/>
      <c r="I69" s="107"/>
      <c r="J69" s="109">
        <f t="shared" si="8"/>
        <v>0</v>
      </c>
      <c r="K69" s="4"/>
      <c r="L69" s="110"/>
      <c r="M69" s="106"/>
      <c r="N69" s="107"/>
      <c r="O69" s="109">
        <f t="shared" si="9"/>
        <v>0</v>
      </c>
      <c r="P69" s="1"/>
    </row>
    <row r="70" ht="15.75" hidden="1" customHeight="1">
      <c r="A70" s="1"/>
      <c r="B70" s="110" t="str">
        <f t="shared" ref="B70:B76" si="11">G70</f>
        <v/>
      </c>
      <c r="C70" s="106"/>
      <c r="D70" s="112"/>
      <c r="E70" s="109">
        <v>0.0</v>
      </c>
      <c r="F70" s="66" t="str">
        <f t="shared" ref="F70:F76" si="12">G70</f>
        <v/>
      </c>
      <c r="G70" s="113"/>
      <c r="H70" s="114"/>
      <c r="I70" s="115"/>
      <c r="J70" s="109">
        <f t="shared" si="8"/>
        <v>0</v>
      </c>
      <c r="K70" s="1"/>
      <c r="L70" s="110" t="str">
        <f t="shared" ref="L70:L76" si="13">G70</f>
        <v/>
      </c>
      <c r="M70" s="114"/>
      <c r="N70" s="115"/>
      <c r="O70" s="109">
        <v>0.0</v>
      </c>
      <c r="P70" s="1"/>
    </row>
    <row r="71" ht="15.75" hidden="1" customHeight="1">
      <c r="A71" s="1"/>
      <c r="B71" s="110" t="str">
        <f t="shared" si="11"/>
        <v/>
      </c>
      <c r="C71" s="106"/>
      <c r="D71" s="112"/>
      <c r="E71" s="109">
        <v>0.0</v>
      </c>
      <c r="F71" s="66" t="str">
        <f t="shared" si="12"/>
        <v/>
      </c>
      <c r="G71" s="116"/>
      <c r="H71" s="114"/>
      <c r="I71" s="115"/>
      <c r="J71" s="109">
        <f t="shared" si="8"/>
        <v>0</v>
      </c>
      <c r="K71" s="1"/>
      <c r="L71" s="110" t="str">
        <f t="shared" si="13"/>
        <v/>
      </c>
      <c r="M71" s="114"/>
      <c r="N71" s="115"/>
      <c r="O71" s="109">
        <v>0.0</v>
      </c>
      <c r="P71" s="1"/>
    </row>
    <row r="72" ht="15.75" hidden="1" customHeight="1">
      <c r="A72" s="1"/>
      <c r="B72" s="110" t="str">
        <f t="shared" si="11"/>
        <v/>
      </c>
      <c r="C72" s="114"/>
      <c r="D72" s="115"/>
      <c r="E72" s="109">
        <v>0.0</v>
      </c>
      <c r="F72" s="66" t="str">
        <f t="shared" si="12"/>
        <v/>
      </c>
      <c r="G72" s="113"/>
      <c r="H72" s="114"/>
      <c r="I72" s="115"/>
      <c r="J72" s="109">
        <f t="shared" si="8"/>
        <v>0</v>
      </c>
      <c r="K72" s="1"/>
      <c r="L72" s="110" t="str">
        <f t="shared" si="13"/>
        <v/>
      </c>
      <c r="M72" s="114"/>
      <c r="N72" s="115"/>
      <c r="O72" s="109">
        <v>0.0</v>
      </c>
      <c r="P72" s="1"/>
    </row>
    <row r="73" ht="15.75" hidden="1" customHeight="1">
      <c r="A73" s="1"/>
      <c r="B73" s="110" t="str">
        <f t="shared" si="11"/>
        <v/>
      </c>
      <c r="C73" s="114"/>
      <c r="D73" s="115"/>
      <c r="E73" s="109">
        <v>0.0</v>
      </c>
      <c r="F73" s="66" t="str">
        <f t="shared" si="12"/>
        <v/>
      </c>
      <c r="G73" s="116"/>
      <c r="H73" s="114"/>
      <c r="I73" s="115"/>
      <c r="J73" s="109">
        <f t="shared" si="8"/>
        <v>0</v>
      </c>
      <c r="K73" s="1"/>
      <c r="L73" s="110" t="str">
        <f t="shared" si="13"/>
        <v/>
      </c>
      <c r="M73" s="114"/>
      <c r="N73" s="115"/>
      <c r="O73" s="109">
        <v>0.0</v>
      </c>
      <c r="P73" s="1"/>
    </row>
    <row r="74" ht="15.75" hidden="1" customHeight="1">
      <c r="A74" s="1"/>
      <c r="B74" s="110" t="str">
        <f t="shared" si="11"/>
        <v/>
      </c>
      <c r="C74" s="114"/>
      <c r="D74" s="115"/>
      <c r="E74" s="109">
        <v>0.0</v>
      </c>
      <c r="F74" s="66" t="str">
        <f t="shared" si="12"/>
        <v/>
      </c>
      <c r="G74" s="113"/>
      <c r="H74" s="114"/>
      <c r="I74" s="115"/>
      <c r="J74" s="109">
        <f t="shared" si="8"/>
        <v>0</v>
      </c>
      <c r="K74" s="1"/>
      <c r="L74" s="110" t="str">
        <f t="shared" si="13"/>
        <v/>
      </c>
      <c r="M74" s="114"/>
      <c r="N74" s="115"/>
      <c r="O74" s="109">
        <v>0.0</v>
      </c>
      <c r="P74" s="1"/>
    </row>
    <row r="75" ht="15.75" hidden="1" customHeight="1">
      <c r="A75" s="1"/>
      <c r="B75" s="110" t="str">
        <f t="shared" si="11"/>
        <v/>
      </c>
      <c r="C75" s="114"/>
      <c r="D75" s="117"/>
      <c r="E75" s="109">
        <v>0.0</v>
      </c>
      <c r="F75" s="66" t="str">
        <f t="shared" si="12"/>
        <v/>
      </c>
      <c r="G75" s="113"/>
      <c r="H75" s="114"/>
      <c r="I75" s="117"/>
      <c r="J75" s="109">
        <f t="shared" si="8"/>
        <v>0</v>
      </c>
      <c r="K75" s="1"/>
      <c r="L75" s="110" t="str">
        <f t="shared" si="13"/>
        <v/>
      </c>
      <c r="M75" s="114"/>
      <c r="N75" s="117"/>
      <c r="O75" s="109">
        <v>0.0</v>
      </c>
      <c r="P75" s="1"/>
    </row>
    <row r="76" ht="15.75" hidden="1" customHeight="1">
      <c r="A76" s="1"/>
      <c r="B76" s="118" t="str">
        <f t="shared" si="11"/>
        <v/>
      </c>
      <c r="C76" s="119"/>
      <c r="D76" s="120"/>
      <c r="E76" s="109">
        <v>0.0</v>
      </c>
      <c r="F76" s="66" t="str">
        <f t="shared" si="12"/>
        <v/>
      </c>
      <c r="G76" s="118"/>
      <c r="H76" s="119"/>
      <c r="I76" s="121"/>
      <c r="J76" s="109">
        <f t="shared" si="8"/>
        <v>0</v>
      </c>
      <c r="K76" s="1"/>
      <c r="L76" s="118" t="str">
        <f t="shared" si="13"/>
        <v/>
      </c>
      <c r="M76" s="119"/>
      <c r="N76" s="121"/>
      <c r="O76" s="109">
        <v>0.0</v>
      </c>
      <c r="P76" s="1"/>
    </row>
    <row r="77" ht="18.75" customHeight="1">
      <c r="A77" s="4"/>
      <c r="B77" s="122" t="s">
        <v>56</v>
      </c>
      <c r="C77" s="87"/>
      <c r="D77" s="88"/>
      <c r="E77" s="123">
        <f>SUM(E41:E76)</f>
        <v>0</v>
      </c>
      <c r="F77" s="72"/>
      <c r="G77" s="122" t="s">
        <v>56</v>
      </c>
      <c r="H77" s="87"/>
      <c r="I77" s="88"/>
      <c r="J77" s="123">
        <f>SUM(J41:J76)</f>
        <v>0</v>
      </c>
      <c r="K77" s="4"/>
      <c r="L77" s="122" t="s">
        <v>56</v>
      </c>
      <c r="M77" s="87"/>
      <c r="N77" s="88"/>
      <c r="O77" s="123">
        <f>SUM(O41:O76)</f>
        <v>0</v>
      </c>
      <c r="P77" s="1"/>
    </row>
    <row r="78" ht="15.75" customHeight="1">
      <c r="A78" s="1"/>
      <c r="B78" s="1"/>
      <c r="C78" s="96"/>
      <c r="D78" s="96"/>
      <c r="E78" s="1"/>
      <c r="F78" s="66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23.25" customHeight="1">
      <c r="A79" s="1"/>
      <c r="B79" s="124" t="str">
        <f>'🏦COVER🏦'!D12</f>
        <v>#REF!</v>
      </c>
      <c r="C79" s="125" t="s">
        <v>5</v>
      </c>
      <c r="D79" s="125" t="s">
        <v>6</v>
      </c>
      <c r="E79" s="104" t="s">
        <v>7</v>
      </c>
      <c r="F79" s="66"/>
      <c r="G79" s="102" t="str">
        <f>B79</f>
        <v>#REF!</v>
      </c>
      <c r="H79" s="126" t="s">
        <v>5</v>
      </c>
      <c r="I79" s="126" t="s">
        <v>6</v>
      </c>
      <c r="J79" s="125" t="s">
        <v>7</v>
      </c>
      <c r="K79" s="1"/>
      <c r="L79" s="102" t="str">
        <f>B79</f>
        <v>#REF!</v>
      </c>
      <c r="M79" s="125" t="s">
        <v>5</v>
      </c>
      <c r="N79" s="125" t="s">
        <v>6</v>
      </c>
      <c r="O79" s="125" t="s">
        <v>7</v>
      </c>
      <c r="P79" s="1"/>
    </row>
    <row r="80" ht="13.5" customHeight="1">
      <c r="A80" s="4"/>
      <c r="B80" s="127"/>
      <c r="C80" s="128"/>
      <c r="D80" s="129"/>
      <c r="E80" s="109">
        <f t="shared" ref="E80:E107" si="14">C80*D80</f>
        <v>0</v>
      </c>
      <c r="F80" s="66" t="str">
        <f t="shared" ref="F80:F87" si="15">G80</f>
        <v/>
      </c>
      <c r="G80" s="127"/>
      <c r="H80" s="128"/>
      <c r="I80" s="129"/>
      <c r="J80" s="109">
        <f t="shared" ref="J80:J107" si="16">H80*I80</f>
        <v>0</v>
      </c>
      <c r="K80" s="4"/>
      <c r="L80" s="127"/>
      <c r="M80" s="128"/>
      <c r="N80" s="129"/>
      <c r="O80" s="130">
        <f t="shared" ref="O80:O107" si="17">M80*N80</f>
        <v>0</v>
      </c>
      <c r="P80" s="1"/>
    </row>
    <row r="81" ht="13.5" customHeight="1">
      <c r="A81" s="4"/>
      <c r="B81" s="127"/>
      <c r="C81" s="131"/>
      <c r="D81" s="107"/>
      <c r="E81" s="109">
        <f t="shared" si="14"/>
        <v>0</v>
      </c>
      <c r="F81" s="66" t="str">
        <f t="shared" si="15"/>
        <v/>
      </c>
      <c r="G81" s="127"/>
      <c r="H81" s="131"/>
      <c r="I81" s="107"/>
      <c r="J81" s="109">
        <f t="shared" si="16"/>
        <v>0</v>
      </c>
      <c r="K81" s="4"/>
      <c r="L81" s="127"/>
      <c r="M81" s="131"/>
      <c r="N81" s="107"/>
      <c r="O81" s="130">
        <f t="shared" si="17"/>
        <v>0</v>
      </c>
      <c r="P81" s="1"/>
    </row>
    <row r="82" ht="13.5" customHeight="1">
      <c r="A82" s="1"/>
      <c r="B82" s="127"/>
      <c r="C82" s="131"/>
      <c r="D82" s="107"/>
      <c r="E82" s="109">
        <f t="shared" si="14"/>
        <v>0</v>
      </c>
      <c r="F82" s="66" t="str">
        <f t="shared" si="15"/>
        <v/>
      </c>
      <c r="G82" s="127"/>
      <c r="H82" s="131"/>
      <c r="I82" s="107"/>
      <c r="J82" s="109">
        <f t="shared" si="16"/>
        <v>0</v>
      </c>
      <c r="K82" s="4"/>
      <c r="L82" s="127"/>
      <c r="M82" s="131"/>
      <c r="N82" s="107"/>
      <c r="O82" s="130">
        <f t="shared" si="17"/>
        <v>0</v>
      </c>
      <c r="P82" s="1"/>
    </row>
    <row r="83" ht="13.5" customHeight="1">
      <c r="A83" s="1"/>
      <c r="B83" s="127"/>
      <c r="C83" s="131"/>
      <c r="D83" s="107"/>
      <c r="E83" s="109">
        <f t="shared" si="14"/>
        <v>0</v>
      </c>
      <c r="F83" s="66" t="str">
        <f t="shared" si="15"/>
        <v/>
      </c>
      <c r="G83" s="127"/>
      <c r="H83" s="131"/>
      <c r="I83" s="107"/>
      <c r="J83" s="109">
        <f t="shared" si="16"/>
        <v>0</v>
      </c>
      <c r="K83" s="1"/>
      <c r="L83" s="127"/>
      <c r="M83" s="131"/>
      <c r="N83" s="107"/>
      <c r="O83" s="130">
        <f t="shared" si="17"/>
        <v>0</v>
      </c>
      <c r="P83" s="1"/>
    </row>
    <row r="84" ht="13.5" customHeight="1">
      <c r="A84" s="1"/>
      <c r="B84" s="127"/>
      <c r="C84" s="131"/>
      <c r="D84" s="107"/>
      <c r="E84" s="109">
        <f t="shared" si="14"/>
        <v>0</v>
      </c>
      <c r="F84" s="66" t="str">
        <f t="shared" si="15"/>
        <v/>
      </c>
      <c r="G84" s="127"/>
      <c r="H84" s="131"/>
      <c r="I84" s="107"/>
      <c r="J84" s="109">
        <f t="shared" si="16"/>
        <v>0</v>
      </c>
      <c r="K84" s="1"/>
      <c r="L84" s="127"/>
      <c r="M84" s="131"/>
      <c r="N84" s="107"/>
      <c r="O84" s="130">
        <f t="shared" si="17"/>
        <v>0</v>
      </c>
      <c r="P84" s="1"/>
    </row>
    <row r="85" ht="13.5" customHeight="1">
      <c r="A85" s="1"/>
      <c r="B85" s="127"/>
      <c r="C85" s="131"/>
      <c r="D85" s="107"/>
      <c r="E85" s="109">
        <f t="shared" si="14"/>
        <v>0</v>
      </c>
      <c r="F85" s="66" t="str">
        <f t="shared" si="15"/>
        <v/>
      </c>
      <c r="G85" s="127"/>
      <c r="H85" s="131"/>
      <c r="I85" s="107"/>
      <c r="J85" s="109">
        <f t="shared" si="16"/>
        <v>0</v>
      </c>
      <c r="K85" s="1"/>
      <c r="L85" s="127"/>
      <c r="M85" s="131"/>
      <c r="N85" s="107"/>
      <c r="O85" s="130">
        <f t="shared" si="17"/>
        <v>0</v>
      </c>
      <c r="P85" s="1"/>
    </row>
    <row r="86" ht="13.5" customHeight="1">
      <c r="A86" s="1"/>
      <c r="B86" s="127"/>
      <c r="C86" s="131"/>
      <c r="D86" s="107"/>
      <c r="E86" s="109">
        <f t="shared" si="14"/>
        <v>0</v>
      </c>
      <c r="F86" s="66" t="str">
        <f t="shared" si="15"/>
        <v/>
      </c>
      <c r="G86" s="127"/>
      <c r="H86" s="131"/>
      <c r="I86" s="107"/>
      <c r="J86" s="109">
        <f t="shared" si="16"/>
        <v>0</v>
      </c>
      <c r="K86" s="1"/>
      <c r="L86" s="127"/>
      <c r="M86" s="131"/>
      <c r="N86" s="107"/>
      <c r="O86" s="130">
        <f t="shared" si="17"/>
        <v>0</v>
      </c>
      <c r="P86" s="1"/>
    </row>
    <row r="87" ht="13.5" customHeight="1">
      <c r="A87" s="1"/>
      <c r="B87" s="127"/>
      <c r="C87" s="131"/>
      <c r="D87" s="112"/>
      <c r="E87" s="109">
        <f t="shared" si="14"/>
        <v>0</v>
      </c>
      <c r="F87" s="66" t="str">
        <f t="shared" si="15"/>
        <v/>
      </c>
      <c r="G87" s="127"/>
      <c r="H87" s="131"/>
      <c r="I87" s="112"/>
      <c r="J87" s="109">
        <f t="shared" si="16"/>
        <v>0</v>
      </c>
      <c r="K87" s="1"/>
      <c r="L87" s="127"/>
      <c r="M87" s="131"/>
      <c r="N87" s="112"/>
      <c r="O87" s="130">
        <f t="shared" si="17"/>
        <v>0</v>
      </c>
      <c r="P87" s="1"/>
    </row>
    <row r="88" ht="13.5" customHeight="1">
      <c r="A88" s="1"/>
      <c r="B88" s="127"/>
      <c r="C88" s="131"/>
      <c r="D88" s="112"/>
      <c r="E88" s="109">
        <f t="shared" si="14"/>
        <v>0</v>
      </c>
      <c r="F88" s="66"/>
      <c r="G88" s="127"/>
      <c r="H88" s="131"/>
      <c r="I88" s="112"/>
      <c r="J88" s="109">
        <f t="shared" si="16"/>
        <v>0</v>
      </c>
      <c r="K88" s="1"/>
      <c r="L88" s="127"/>
      <c r="M88" s="131"/>
      <c r="N88" s="112"/>
      <c r="O88" s="130">
        <f t="shared" si="17"/>
        <v>0</v>
      </c>
      <c r="P88" s="1"/>
    </row>
    <row r="89" ht="13.5" customHeight="1">
      <c r="A89" s="1"/>
      <c r="B89" s="127"/>
      <c r="C89" s="132"/>
      <c r="D89" s="112"/>
      <c r="E89" s="109">
        <f t="shared" si="14"/>
        <v>0</v>
      </c>
      <c r="F89" s="66" t="str">
        <f>G89</f>
        <v/>
      </c>
      <c r="G89" s="127"/>
      <c r="H89" s="132"/>
      <c r="I89" s="112"/>
      <c r="J89" s="109">
        <f t="shared" si="16"/>
        <v>0</v>
      </c>
      <c r="K89" s="1"/>
      <c r="L89" s="127"/>
      <c r="M89" s="132"/>
      <c r="N89" s="112"/>
      <c r="O89" s="130">
        <f t="shared" si="17"/>
        <v>0</v>
      </c>
      <c r="P89" s="1"/>
    </row>
    <row r="90" ht="13.5" customHeight="1">
      <c r="A90" s="1"/>
      <c r="B90" s="127"/>
      <c r="C90" s="132"/>
      <c r="D90" s="112"/>
      <c r="E90" s="109">
        <f t="shared" si="14"/>
        <v>0</v>
      </c>
      <c r="F90" s="66"/>
      <c r="G90" s="127"/>
      <c r="H90" s="132"/>
      <c r="I90" s="112"/>
      <c r="J90" s="109">
        <f t="shared" si="16"/>
        <v>0</v>
      </c>
      <c r="K90" s="1"/>
      <c r="L90" s="127"/>
      <c r="M90" s="132"/>
      <c r="N90" s="112"/>
      <c r="O90" s="130">
        <f t="shared" si="17"/>
        <v>0</v>
      </c>
      <c r="P90" s="1"/>
    </row>
    <row r="91" ht="13.5" customHeight="1">
      <c r="A91" s="1"/>
      <c r="B91" s="127"/>
      <c r="C91" s="132"/>
      <c r="D91" s="112"/>
      <c r="E91" s="109">
        <f t="shared" si="14"/>
        <v>0</v>
      </c>
      <c r="F91" s="66"/>
      <c r="G91" s="127"/>
      <c r="H91" s="132"/>
      <c r="I91" s="112"/>
      <c r="J91" s="109">
        <f t="shared" si="16"/>
        <v>0</v>
      </c>
      <c r="K91" s="1"/>
      <c r="L91" s="127"/>
      <c r="M91" s="132"/>
      <c r="N91" s="112"/>
      <c r="O91" s="130">
        <f t="shared" si="17"/>
        <v>0</v>
      </c>
      <c r="P91" s="1"/>
    </row>
    <row r="92" ht="13.5" customHeight="1">
      <c r="A92" s="1"/>
      <c r="B92" s="127"/>
      <c r="C92" s="132"/>
      <c r="D92" s="112"/>
      <c r="E92" s="109">
        <f t="shared" si="14"/>
        <v>0</v>
      </c>
      <c r="F92" s="66"/>
      <c r="G92" s="127"/>
      <c r="H92" s="132"/>
      <c r="I92" s="112"/>
      <c r="J92" s="109">
        <f t="shared" si="16"/>
        <v>0</v>
      </c>
      <c r="K92" s="1"/>
      <c r="L92" s="127"/>
      <c r="M92" s="132"/>
      <c r="N92" s="112"/>
      <c r="O92" s="130">
        <f t="shared" si="17"/>
        <v>0</v>
      </c>
      <c r="P92" s="1"/>
    </row>
    <row r="93" ht="13.5" customHeight="1">
      <c r="A93" s="1"/>
      <c r="B93" s="127"/>
      <c r="C93" s="132"/>
      <c r="D93" s="112"/>
      <c r="E93" s="109">
        <f t="shared" si="14"/>
        <v>0</v>
      </c>
      <c r="F93" s="66"/>
      <c r="G93" s="127"/>
      <c r="H93" s="132"/>
      <c r="I93" s="112"/>
      <c r="J93" s="109">
        <f t="shared" si="16"/>
        <v>0</v>
      </c>
      <c r="K93" s="1"/>
      <c r="L93" s="127"/>
      <c r="M93" s="132"/>
      <c r="N93" s="112"/>
      <c r="O93" s="130">
        <f t="shared" si="17"/>
        <v>0</v>
      </c>
      <c r="P93" s="1"/>
    </row>
    <row r="94" ht="13.5" customHeight="1">
      <c r="A94" s="1"/>
      <c r="B94" s="127"/>
      <c r="C94" s="132"/>
      <c r="D94" s="112"/>
      <c r="E94" s="109">
        <f t="shared" si="14"/>
        <v>0</v>
      </c>
      <c r="F94" s="66"/>
      <c r="G94" s="127"/>
      <c r="H94" s="132"/>
      <c r="I94" s="112"/>
      <c r="J94" s="109">
        <f t="shared" si="16"/>
        <v>0</v>
      </c>
      <c r="K94" s="1"/>
      <c r="L94" s="127"/>
      <c r="M94" s="132"/>
      <c r="N94" s="112"/>
      <c r="O94" s="130">
        <f t="shared" si="17"/>
        <v>0</v>
      </c>
      <c r="P94" s="1"/>
    </row>
    <row r="95" ht="13.5" customHeight="1">
      <c r="A95" s="1"/>
      <c r="B95" s="127"/>
      <c r="C95" s="132"/>
      <c r="D95" s="112"/>
      <c r="E95" s="109">
        <f t="shared" si="14"/>
        <v>0</v>
      </c>
      <c r="F95" s="66"/>
      <c r="G95" s="127"/>
      <c r="H95" s="132"/>
      <c r="I95" s="112"/>
      <c r="J95" s="109">
        <f t="shared" si="16"/>
        <v>0</v>
      </c>
      <c r="K95" s="1"/>
      <c r="L95" s="127"/>
      <c r="M95" s="132"/>
      <c r="N95" s="112"/>
      <c r="O95" s="130">
        <f t="shared" si="17"/>
        <v>0</v>
      </c>
      <c r="P95" s="1"/>
    </row>
    <row r="96" ht="13.5" customHeight="1">
      <c r="A96" s="1"/>
      <c r="B96" s="127"/>
      <c r="C96" s="132"/>
      <c r="D96" s="112"/>
      <c r="E96" s="109">
        <f t="shared" si="14"/>
        <v>0</v>
      </c>
      <c r="F96" s="66"/>
      <c r="G96" s="127"/>
      <c r="H96" s="132"/>
      <c r="I96" s="112"/>
      <c r="J96" s="109">
        <f t="shared" si="16"/>
        <v>0</v>
      </c>
      <c r="K96" s="1"/>
      <c r="L96" s="127"/>
      <c r="M96" s="132"/>
      <c r="N96" s="112"/>
      <c r="O96" s="130">
        <f t="shared" si="17"/>
        <v>0</v>
      </c>
      <c r="P96" s="1"/>
    </row>
    <row r="97" ht="13.5" customHeight="1">
      <c r="A97" s="1"/>
      <c r="B97" s="127"/>
      <c r="C97" s="132"/>
      <c r="D97" s="112"/>
      <c r="E97" s="109">
        <f t="shared" si="14"/>
        <v>0</v>
      </c>
      <c r="F97" s="66"/>
      <c r="G97" s="127"/>
      <c r="H97" s="132"/>
      <c r="I97" s="112"/>
      <c r="J97" s="109">
        <f t="shared" si="16"/>
        <v>0</v>
      </c>
      <c r="K97" s="1"/>
      <c r="L97" s="127"/>
      <c r="M97" s="132"/>
      <c r="N97" s="112"/>
      <c r="O97" s="130">
        <f t="shared" si="17"/>
        <v>0</v>
      </c>
      <c r="P97" s="1"/>
    </row>
    <row r="98" ht="13.5" customHeight="1">
      <c r="A98" s="1"/>
      <c r="B98" s="127"/>
      <c r="C98" s="132"/>
      <c r="D98" s="112"/>
      <c r="E98" s="109">
        <f t="shared" si="14"/>
        <v>0</v>
      </c>
      <c r="F98" s="66"/>
      <c r="G98" s="127"/>
      <c r="H98" s="132"/>
      <c r="I98" s="112"/>
      <c r="J98" s="109">
        <f t="shared" si="16"/>
        <v>0</v>
      </c>
      <c r="K98" s="1"/>
      <c r="L98" s="127"/>
      <c r="M98" s="132"/>
      <c r="N98" s="112"/>
      <c r="O98" s="130">
        <f t="shared" si="17"/>
        <v>0</v>
      </c>
      <c r="P98" s="1"/>
    </row>
    <row r="99" ht="13.5" customHeight="1">
      <c r="A99" s="1"/>
      <c r="B99" s="127"/>
      <c r="C99" s="132"/>
      <c r="D99" s="112"/>
      <c r="E99" s="109">
        <f t="shared" si="14"/>
        <v>0</v>
      </c>
      <c r="F99" s="66"/>
      <c r="G99" s="127"/>
      <c r="H99" s="132"/>
      <c r="I99" s="112"/>
      <c r="J99" s="109">
        <f t="shared" si="16"/>
        <v>0</v>
      </c>
      <c r="K99" s="1"/>
      <c r="L99" s="127"/>
      <c r="M99" s="132"/>
      <c r="N99" s="112"/>
      <c r="O99" s="130">
        <f t="shared" si="17"/>
        <v>0</v>
      </c>
      <c r="P99" s="1"/>
    </row>
    <row r="100" ht="13.5" customHeight="1">
      <c r="A100" s="1"/>
      <c r="B100" s="127"/>
      <c r="C100" s="132"/>
      <c r="D100" s="112"/>
      <c r="E100" s="109">
        <f t="shared" si="14"/>
        <v>0</v>
      </c>
      <c r="F100" s="66"/>
      <c r="G100" s="127"/>
      <c r="H100" s="132"/>
      <c r="I100" s="112"/>
      <c r="J100" s="109">
        <f t="shared" si="16"/>
        <v>0</v>
      </c>
      <c r="K100" s="1"/>
      <c r="L100" s="127"/>
      <c r="M100" s="132"/>
      <c r="N100" s="112"/>
      <c r="O100" s="130">
        <f t="shared" si="17"/>
        <v>0</v>
      </c>
      <c r="P100" s="1"/>
    </row>
    <row r="101" ht="13.5" customHeight="1">
      <c r="A101" s="1"/>
      <c r="B101" s="127"/>
      <c r="C101" s="132"/>
      <c r="D101" s="112"/>
      <c r="E101" s="109">
        <f t="shared" si="14"/>
        <v>0</v>
      </c>
      <c r="F101" s="66"/>
      <c r="G101" s="127"/>
      <c r="H101" s="132"/>
      <c r="I101" s="112"/>
      <c r="J101" s="109">
        <f t="shared" si="16"/>
        <v>0</v>
      </c>
      <c r="K101" s="1"/>
      <c r="L101" s="127"/>
      <c r="M101" s="132"/>
      <c r="N101" s="112"/>
      <c r="O101" s="130">
        <f t="shared" si="17"/>
        <v>0</v>
      </c>
      <c r="P101" s="1"/>
    </row>
    <row r="102" ht="13.5" customHeight="1">
      <c r="A102" s="1"/>
      <c r="B102" s="127"/>
      <c r="C102" s="132"/>
      <c r="D102" s="112"/>
      <c r="E102" s="109">
        <f t="shared" si="14"/>
        <v>0</v>
      </c>
      <c r="F102" s="66"/>
      <c r="G102" s="127"/>
      <c r="H102" s="132"/>
      <c r="I102" s="112"/>
      <c r="J102" s="109">
        <f t="shared" si="16"/>
        <v>0</v>
      </c>
      <c r="K102" s="1"/>
      <c r="L102" s="127"/>
      <c r="M102" s="132"/>
      <c r="N102" s="112"/>
      <c r="O102" s="130">
        <f t="shared" si="17"/>
        <v>0</v>
      </c>
      <c r="P102" s="1"/>
    </row>
    <row r="103" ht="13.5" customHeight="1">
      <c r="A103" s="1"/>
      <c r="B103" s="127"/>
      <c r="C103" s="132"/>
      <c r="D103" s="112"/>
      <c r="E103" s="109">
        <f t="shared" si="14"/>
        <v>0</v>
      </c>
      <c r="F103" s="66"/>
      <c r="G103" s="127"/>
      <c r="H103" s="132"/>
      <c r="I103" s="112"/>
      <c r="J103" s="109">
        <f t="shared" si="16"/>
        <v>0</v>
      </c>
      <c r="K103" s="1"/>
      <c r="L103" s="127"/>
      <c r="M103" s="132"/>
      <c r="N103" s="112"/>
      <c r="O103" s="130">
        <f t="shared" si="17"/>
        <v>0</v>
      </c>
      <c r="P103" s="1"/>
    </row>
    <row r="104" ht="13.5" customHeight="1">
      <c r="A104" s="1"/>
      <c r="B104" s="127"/>
      <c r="C104" s="132"/>
      <c r="D104" s="112"/>
      <c r="E104" s="109">
        <f t="shared" si="14"/>
        <v>0</v>
      </c>
      <c r="F104" s="66"/>
      <c r="G104" s="127"/>
      <c r="H104" s="132"/>
      <c r="I104" s="112"/>
      <c r="J104" s="109">
        <f t="shared" si="16"/>
        <v>0</v>
      </c>
      <c r="K104" s="1"/>
      <c r="L104" s="127"/>
      <c r="M104" s="132"/>
      <c r="N104" s="112"/>
      <c r="O104" s="130">
        <f t="shared" si="17"/>
        <v>0</v>
      </c>
      <c r="P104" s="1"/>
    </row>
    <row r="105" ht="13.5" customHeight="1">
      <c r="A105" s="1"/>
      <c r="B105" s="127"/>
      <c r="C105" s="132"/>
      <c r="D105" s="112"/>
      <c r="E105" s="109">
        <f t="shared" si="14"/>
        <v>0</v>
      </c>
      <c r="F105" s="66"/>
      <c r="G105" s="127"/>
      <c r="H105" s="132"/>
      <c r="I105" s="112"/>
      <c r="J105" s="109">
        <f t="shared" si="16"/>
        <v>0</v>
      </c>
      <c r="K105" s="1"/>
      <c r="L105" s="127"/>
      <c r="M105" s="132"/>
      <c r="N105" s="112"/>
      <c r="O105" s="130">
        <f t="shared" si="17"/>
        <v>0</v>
      </c>
      <c r="P105" s="1"/>
    </row>
    <row r="106" ht="13.5" customHeight="1">
      <c r="A106" s="1"/>
      <c r="B106" s="127"/>
      <c r="C106" s="132"/>
      <c r="D106" s="32"/>
      <c r="E106" s="109">
        <f t="shared" si="14"/>
        <v>0</v>
      </c>
      <c r="F106" s="66"/>
      <c r="G106" s="127"/>
      <c r="H106" s="132"/>
      <c r="I106" s="112"/>
      <c r="J106" s="109">
        <f t="shared" si="16"/>
        <v>0</v>
      </c>
      <c r="K106" s="1"/>
      <c r="L106" s="127"/>
      <c r="M106" s="132"/>
      <c r="N106" s="107"/>
      <c r="O106" s="130">
        <f t="shared" si="17"/>
        <v>0</v>
      </c>
      <c r="P106" s="1"/>
    </row>
    <row r="107" ht="13.5" customHeight="1">
      <c r="A107" s="1"/>
      <c r="B107" s="127"/>
      <c r="C107" s="132"/>
      <c r="D107" s="112"/>
      <c r="E107" s="109">
        <f t="shared" si="14"/>
        <v>0</v>
      </c>
      <c r="F107" s="66" t="str">
        <f>G107</f>
        <v/>
      </c>
      <c r="G107" s="127"/>
      <c r="H107" s="132"/>
      <c r="I107" s="112"/>
      <c r="J107" s="109">
        <f t="shared" si="16"/>
        <v>0</v>
      </c>
      <c r="K107" s="1"/>
      <c r="L107" s="127"/>
      <c r="M107" s="132"/>
      <c r="N107" s="112"/>
      <c r="O107" s="130">
        <f t="shared" si="17"/>
        <v>0</v>
      </c>
      <c r="P107" s="1"/>
    </row>
    <row r="108" ht="18.75" customHeight="1">
      <c r="A108" s="4"/>
      <c r="B108" s="122" t="s">
        <v>56</v>
      </c>
      <c r="C108" s="87"/>
      <c r="D108" s="88"/>
      <c r="E108" s="123">
        <f>SUM(E80:E107)</f>
        <v>0</v>
      </c>
      <c r="F108" s="133" t="s">
        <v>85</v>
      </c>
      <c r="G108" s="122" t="s">
        <v>56</v>
      </c>
      <c r="H108" s="87"/>
      <c r="I108" s="88"/>
      <c r="J108" s="123">
        <f>SUM(J83:J107)</f>
        <v>0</v>
      </c>
      <c r="K108" s="4"/>
      <c r="L108" s="122" t="s">
        <v>56</v>
      </c>
      <c r="M108" s="87"/>
      <c r="N108" s="88"/>
      <c r="O108" s="123">
        <f>SUM(O83:O107)</f>
        <v>0</v>
      </c>
      <c r="P108" s="1"/>
    </row>
    <row r="109" ht="15.0" customHeight="1">
      <c r="A109" s="1"/>
      <c r="B109" s="1"/>
      <c r="C109" s="96"/>
      <c r="D109" s="96"/>
      <c r="E109" s="1"/>
      <c r="F109" s="66"/>
      <c r="G109" s="96"/>
      <c r="H109" s="96"/>
      <c r="I109" s="96"/>
      <c r="J109" s="96"/>
      <c r="K109" s="1"/>
      <c r="L109" s="96"/>
      <c r="M109" s="96"/>
      <c r="N109" s="96"/>
      <c r="O109" s="96"/>
      <c r="P109" s="1"/>
    </row>
    <row r="110" ht="24.0" customHeight="1">
      <c r="A110" s="1"/>
      <c r="B110" s="102" t="str">
        <f>'🏦COVER🏦'!D13</f>
        <v>#REF!</v>
      </c>
      <c r="C110" s="103" t="s">
        <v>5</v>
      </c>
      <c r="D110" s="103" t="s">
        <v>6</v>
      </c>
      <c r="E110" s="104" t="s">
        <v>7</v>
      </c>
      <c r="F110" s="72"/>
      <c r="G110" s="134" t="str">
        <f>B110</f>
        <v>#REF!</v>
      </c>
      <c r="H110" s="103" t="s">
        <v>5</v>
      </c>
      <c r="I110" s="103" t="s">
        <v>6</v>
      </c>
      <c r="J110" s="103" t="s">
        <v>7</v>
      </c>
      <c r="K110" s="16"/>
      <c r="L110" s="134" t="str">
        <f>B110</f>
        <v>#REF!</v>
      </c>
      <c r="M110" s="103" t="s">
        <v>5</v>
      </c>
      <c r="N110" s="103" t="s">
        <v>6</v>
      </c>
      <c r="O110" s="103" t="s">
        <v>7</v>
      </c>
      <c r="P110" s="135"/>
    </row>
    <row r="111" ht="15.75" customHeight="1">
      <c r="A111" s="4"/>
      <c r="B111" s="105"/>
      <c r="C111" s="131"/>
      <c r="D111" s="32"/>
      <c r="E111" s="108">
        <f t="shared" ref="E111:E129" si="18">C111*D111</f>
        <v>0</v>
      </c>
      <c r="F111" s="72" t="str">
        <f t="shared" ref="F111:F119" si="19">G111</f>
        <v/>
      </c>
      <c r="G111" s="105"/>
      <c r="H111" s="136"/>
      <c r="I111" s="112"/>
      <c r="J111" s="137">
        <f t="shared" ref="J111:J129" si="20">H111*I111</f>
        <v>0</v>
      </c>
      <c r="K111" s="16"/>
      <c r="L111" s="105"/>
      <c r="M111" s="136"/>
      <c r="N111" s="107"/>
      <c r="O111" s="137">
        <f t="shared" ref="O111:O129" si="21">M111*N111</f>
        <v>0</v>
      </c>
      <c r="P111" s="100"/>
    </row>
    <row r="112" ht="15.75" customHeight="1">
      <c r="A112" s="1"/>
      <c r="B112" s="110"/>
      <c r="C112" s="131"/>
      <c r="D112" s="107"/>
      <c r="E112" s="111">
        <f t="shared" si="18"/>
        <v>0</v>
      </c>
      <c r="F112" s="66" t="str">
        <f t="shared" si="19"/>
        <v/>
      </c>
      <c r="G112" s="110"/>
      <c r="H112" s="131"/>
      <c r="I112" s="107"/>
      <c r="J112" s="111">
        <f t="shared" si="20"/>
        <v>0</v>
      </c>
      <c r="K112" s="4"/>
      <c r="L112" s="110"/>
      <c r="M112" s="131"/>
      <c r="N112" s="107"/>
      <c r="O112" s="111">
        <f t="shared" si="21"/>
        <v>0</v>
      </c>
      <c r="P112" s="1"/>
    </row>
    <row r="113" ht="15.75" customHeight="1">
      <c r="A113" s="1"/>
      <c r="B113" s="110"/>
      <c r="C113" s="131"/>
      <c r="D113" s="32"/>
      <c r="E113" s="111">
        <f t="shared" si="18"/>
        <v>0</v>
      </c>
      <c r="F113" s="66" t="str">
        <f t="shared" si="19"/>
        <v/>
      </c>
      <c r="G113" s="110"/>
      <c r="H113" s="131"/>
      <c r="I113" s="112"/>
      <c r="J113" s="111">
        <f t="shared" si="20"/>
        <v>0</v>
      </c>
      <c r="K113" s="1"/>
      <c r="L113" s="110"/>
      <c r="M113" s="131"/>
      <c r="N113" s="107"/>
      <c r="O113" s="111">
        <f t="shared" si="21"/>
        <v>0</v>
      </c>
      <c r="P113" s="1"/>
    </row>
    <row r="114" ht="15.75" customHeight="1">
      <c r="A114" s="1"/>
      <c r="B114" s="110"/>
      <c r="C114" s="131"/>
      <c r="D114" s="107"/>
      <c r="E114" s="111">
        <f t="shared" si="18"/>
        <v>0</v>
      </c>
      <c r="F114" s="66" t="str">
        <f t="shared" si="19"/>
        <v/>
      </c>
      <c r="G114" s="110"/>
      <c r="H114" s="131"/>
      <c r="I114" s="107"/>
      <c r="J114" s="111">
        <f t="shared" si="20"/>
        <v>0</v>
      </c>
      <c r="K114" s="1"/>
      <c r="L114" s="110"/>
      <c r="M114" s="131"/>
      <c r="N114" s="107"/>
      <c r="O114" s="111">
        <f t="shared" si="21"/>
        <v>0</v>
      </c>
      <c r="P114" s="1"/>
    </row>
    <row r="115" ht="15.75" customHeight="1">
      <c r="A115" s="1"/>
      <c r="B115" s="110"/>
      <c r="C115" s="131"/>
      <c r="D115" s="107"/>
      <c r="E115" s="111">
        <f t="shared" si="18"/>
        <v>0</v>
      </c>
      <c r="F115" s="66" t="str">
        <f t="shared" si="19"/>
        <v/>
      </c>
      <c r="G115" s="110"/>
      <c r="H115" s="131"/>
      <c r="I115" s="107"/>
      <c r="J115" s="111">
        <f t="shared" si="20"/>
        <v>0</v>
      </c>
      <c r="K115" s="1"/>
      <c r="L115" s="110"/>
      <c r="M115" s="131"/>
      <c r="N115" s="107"/>
      <c r="O115" s="111">
        <f t="shared" si="21"/>
        <v>0</v>
      </c>
      <c r="P115" s="1"/>
    </row>
    <row r="116" ht="15.75" customHeight="1">
      <c r="A116" s="1"/>
      <c r="B116" s="110"/>
      <c r="C116" s="131"/>
      <c r="D116" s="107"/>
      <c r="E116" s="111">
        <f t="shared" si="18"/>
        <v>0</v>
      </c>
      <c r="F116" s="66" t="str">
        <f t="shared" si="19"/>
        <v/>
      </c>
      <c r="G116" s="110"/>
      <c r="H116" s="131"/>
      <c r="I116" s="107"/>
      <c r="J116" s="111">
        <f t="shared" si="20"/>
        <v>0</v>
      </c>
      <c r="K116" s="1"/>
      <c r="L116" s="110"/>
      <c r="M116" s="131"/>
      <c r="N116" s="107"/>
      <c r="O116" s="111">
        <f t="shared" si="21"/>
        <v>0</v>
      </c>
      <c r="P116" s="1"/>
    </row>
    <row r="117" ht="15.75" customHeight="1">
      <c r="A117" s="1"/>
      <c r="B117" s="110"/>
      <c r="C117" s="131"/>
      <c r="D117" s="107"/>
      <c r="E117" s="109">
        <f t="shared" si="18"/>
        <v>0</v>
      </c>
      <c r="F117" s="66" t="str">
        <f t="shared" si="19"/>
        <v/>
      </c>
      <c r="G117" s="110"/>
      <c r="H117" s="131"/>
      <c r="I117" s="107"/>
      <c r="J117" s="109">
        <f t="shared" si="20"/>
        <v>0</v>
      </c>
      <c r="K117" s="1"/>
      <c r="L117" s="110"/>
      <c r="M117" s="131"/>
      <c r="N117" s="107"/>
      <c r="O117" s="138">
        <f t="shared" si="21"/>
        <v>0</v>
      </c>
      <c r="P117" s="1"/>
    </row>
    <row r="118" ht="15.75" customHeight="1">
      <c r="A118" s="1"/>
      <c r="B118" s="110"/>
      <c r="C118" s="131"/>
      <c r="D118" s="107"/>
      <c r="E118" s="109">
        <f t="shared" si="18"/>
        <v>0</v>
      </c>
      <c r="F118" s="66" t="str">
        <f t="shared" si="19"/>
        <v/>
      </c>
      <c r="G118" s="110"/>
      <c r="H118" s="131"/>
      <c r="I118" s="107"/>
      <c r="J118" s="109">
        <f t="shared" si="20"/>
        <v>0</v>
      </c>
      <c r="K118" s="1"/>
      <c r="L118" s="110"/>
      <c r="M118" s="131"/>
      <c r="N118" s="107"/>
      <c r="O118" s="138">
        <f t="shared" si="21"/>
        <v>0</v>
      </c>
      <c r="P118" s="1"/>
    </row>
    <row r="119" ht="15.75" customHeight="1">
      <c r="A119" s="1"/>
      <c r="B119" s="110"/>
      <c r="C119" s="131"/>
      <c r="D119" s="107"/>
      <c r="E119" s="109">
        <f t="shared" si="18"/>
        <v>0</v>
      </c>
      <c r="F119" s="66" t="str">
        <f t="shared" si="19"/>
        <v/>
      </c>
      <c r="G119" s="110"/>
      <c r="H119" s="131"/>
      <c r="I119" s="107"/>
      <c r="J119" s="109">
        <f t="shared" si="20"/>
        <v>0</v>
      </c>
      <c r="K119" s="1"/>
      <c r="L119" s="110"/>
      <c r="M119" s="131"/>
      <c r="N119" s="107"/>
      <c r="O119" s="138">
        <f t="shared" si="21"/>
        <v>0</v>
      </c>
      <c r="P119" s="1"/>
    </row>
    <row r="120" ht="15.75" customHeight="1">
      <c r="A120" s="1"/>
      <c r="B120" s="110"/>
      <c r="C120" s="131"/>
      <c r="D120" s="107"/>
      <c r="E120" s="109">
        <f t="shared" si="18"/>
        <v>0</v>
      </c>
      <c r="F120" s="66"/>
      <c r="G120" s="110"/>
      <c r="H120" s="131"/>
      <c r="I120" s="107"/>
      <c r="J120" s="109">
        <f t="shared" si="20"/>
        <v>0</v>
      </c>
      <c r="K120" s="1"/>
      <c r="L120" s="110"/>
      <c r="M120" s="131"/>
      <c r="N120" s="107"/>
      <c r="O120" s="138">
        <f t="shared" si="21"/>
        <v>0</v>
      </c>
      <c r="P120" s="1"/>
    </row>
    <row r="121" ht="15.75" customHeight="1">
      <c r="A121" s="1"/>
      <c r="B121" s="110"/>
      <c r="C121" s="131"/>
      <c r="D121" s="107"/>
      <c r="E121" s="109">
        <f t="shared" si="18"/>
        <v>0</v>
      </c>
      <c r="F121" s="66"/>
      <c r="G121" s="110"/>
      <c r="H121" s="131"/>
      <c r="I121" s="107"/>
      <c r="J121" s="109">
        <f t="shared" si="20"/>
        <v>0</v>
      </c>
      <c r="K121" s="1"/>
      <c r="L121" s="110"/>
      <c r="M121" s="131"/>
      <c r="N121" s="107"/>
      <c r="O121" s="138">
        <f t="shared" si="21"/>
        <v>0</v>
      </c>
      <c r="P121" s="1"/>
    </row>
    <row r="122" ht="15.75" customHeight="1">
      <c r="A122" s="1"/>
      <c r="B122" s="110"/>
      <c r="C122" s="131"/>
      <c r="D122" s="107"/>
      <c r="E122" s="109">
        <f t="shared" si="18"/>
        <v>0</v>
      </c>
      <c r="F122" s="66"/>
      <c r="G122" s="110"/>
      <c r="H122" s="131"/>
      <c r="I122" s="107"/>
      <c r="J122" s="109">
        <f t="shared" si="20"/>
        <v>0</v>
      </c>
      <c r="K122" s="1"/>
      <c r="L122" s="110"/>
      <c r="M122" s="131"/>
      <c r="N122" s="107"/>
      <c r="O122" s="138">
        <f t="shared" si="21"/>
        <v>0</v>
      </c>
      <c r="P122" s="1"/>
    </row>
    <row r="123" ht="15.75" customHeight="1">
      <c r="A123" s="1"/>
      <c r="B123" s="110"/>
      <c r="C123" s="131"/>
      <c r="D123" s="107"/>
      <c r="E123" s="109">
        <f t="shared" si="18"/>
        <v>0</v>
      </c>
      <c r="F123" s="66"/>
      <c r="G123" s="110"/>
      <c r="H123" s="131"/>
      <c r="I123" s="107"/>
      <c r="J123" s="109">
        <f t="shared" si="20"/>
        <v>0</v>
      </c>
      <c r="K123" s="1"/>
      <c r="L123" s="110"/>
      <c r="M123" s="131"/>
      <c r="N123" s="107"/>
      <c r="O123" s="138">
        <f t="shared" si="21"/>
        <v>0</v>
      </c>
      <c r="P123" s="1"/>
    </row>
    <row r="124" ht="15.75" customHeight="1">
      <c r="A124" s="1"/>
      <c r="B124" s="110"/>
      <c r="C124" s="131"/>
      <c r="D124" s="107"/>
      <c r="E124" s="109">
        <f t="shared" si="18"/>
        <v>0</v>
      </c>
      <c r="F124" s="66"/>
      <c r="G124" s="110"/>
      <c r="H124" s="131"/>
      <c r="I124" s="107"/>
      <c r="J124" s="109">
        <f t="shared" si="20"/>
        <v>0</v>
      </c>
      <c r="K124" s="1"/>
      <c r="L124" s="110"/>
      <c r="M124" s="131"/>
      <c r="N124" s="107"/>
      <c r="O124" s="138">
        <f t="shared" si="21"/>
        <v>0</v>
      </c>
      <c r="P124" s="1"/>
    </row>
    <row r="125" ht="15.75" customHeight="1">
      <c r="A125" s="1"/>
      <c r="B125" s="110"/>
      <c r="C125" s="131"/>
      <c r="D125" s="107"/>
      <c r="E125" s="109">
        <f t="shared" si="18"/>
        <v>0</v>
      </c>
      <c r="F125" s="66"/>
      <c r="G125" s="110"/>
      <c r="H125" s="131"/>
      <c r="I125" s="107"/>
      <c r="J125" s="109">
        <f t="shared" si="20"/>
        <v>0</v>
      </c>
      <c r="K125" s="1"/>
      <c r="L125" s="110"/>
      <c r="M125" s="131"/>
      <c r="N125" s="107"/>
      <c r="O125" s="138">
        <f t="shared" si="21"/>
        <v>0</v>
      </c>
      <c r="P125" s="1"/>
    </row>
    <row r="126" ht="15.75" customHeight="1">
      <c r="A126" s="1"/>
      <c r="B126" s="110"/>
      <c r="C126" s="131"/>
      <c r="D126" s="107"/>
      <c r="E126" s="109">
        <f t="shared" si="18"/>
        <v>0</v>
      </c>
      <c r="F126" s="66"/>
      <c r="G126" s="110"/>
      <c r="H126" s="131"/>
      <c r="I126" s="107"/>
      <c r="J126" s="109">
        <f t="shared" si="20"/>
        <v>0</v>
      </c>
      <c r="K126" s="1"/>
      <c r="L126" s="110"/>
      <c r="M126" s="131"/>
      <c r="N126" s="107"/>
      <c r="O126" s="138">
        <f t="shared" si="21"/>
        <v>0</v>
      </c>
      <c r="P126" s="1"/>
    </row>
    <row r="127" ht="15.75" customHeight="1">
      <c r="A127" s="1"/>
      <c r="B127" s="110"/>
      <c r="C127" s="131"/>
      <c r="D127" s="107"/>
      <c r="E127" s="109">
        <f t="shared" si="18"/>
        <v>0</v>
      </c>
      <c r="F127" s="66"/>
      <c r="G127" s="110"/>
      <c r="H127" s="131"/>
      <c r="I127" s="107"/>
      <c r="J127" s="109">
        <f t="shared" si="20"/>
        <v>0</v>
      </c>
      <c r="K127" s="1"/>
      <c r="L127" s="110"/>
      <c r="M127" s="131"/>
      <c r="N127" s="107"/>
      <c r="O127" s="138">
        <f t="shared" si="21"/>
        <v>0</v>
      </c>
      <c r="P127" s="1"/>
    </row>
    <row r="128" ht="15.75" customHeight="1">
      <c r="A128" s="1"/>
      <c r="B128" s="110"/>
      <c r="C128" s="131"/>
      <c r="D128" s="107"/>
      <c r="E128" s="109">
        <f t="shared" si="18"/>
        <v>0</v>
      </c>
      <c r="F128" s="66"/>
      <c r="G128" s="110"/>
      <c r="H128" s="131"/>
      <c r="I128" s="107"/>
      <c r="J128" s="109">
        <f t="shared" si="20"/>
        <v>0</v>
      </c>
      <c r="K128" s="1"/>
      <c r="L128" s="110"/>
      <c r="M128" s="131"/>
      <c r="N128" s="107"/>
      <c r="O128" s="138">
        <f t="shared" si="21"/>
        <v>0</v>
      </c>
      <c r="P128" s="1"/>
    </row>
    <row r="129" ht="15.75" customHeight="1">
      <c r="A129" s="1"/>
      <c r="B129" s="110"/>
      <c r="C129" s="131"/>
      <c r="D129" s="107"/>
      <c r="E129" s="109">
        <f t="shared" si="18"/>
        <v>0</v>
      </c>
      <c r="F129" s="66"/>
      <c r="G129" s="110"/>
      <c r="H129" s="131"/>
      <c r="I129" s="107"/>
      <c r="J129" s="109">
        <f t="shared" si="20"/>
        <v>0</v>
      </c>
      <c r="K129" s="1"/>
      <c r="L129" s="110"/>
      <c r="M129" s="131"/>
      <c r="N129" s="107"/>
      <c r="O129" s="138">
        <f t="shared" si="21"/>
        <v>0</v>
      </c>
      <c r="P129" s="1"/>
    </row>
    <row r="130" ht="18.75" customHeight="1">
      <c r="A130" s="4"/>
      <c r="B130" s="122" t="s">
        <v>56</v>
      </c>
      <c r="C130" s="87"/>
      <c r="D130" s="88"/>
      <c r="E130" s="123">
        <f>SUM(E111:E129)</f>
        <v>0</v>
      </c>
      <c r="F130" s="72"/>
      <c r="G130" s="122" t="s">
        <v>56</v>
      </c>
      <c r="H130" s="87"/>
      <c r="I130" s="88"/>
      <c r="J130" s="123">
        <f>SUM(J111:J129)</f>
        <v>0</v>
      </c>
      <c r="K130" s="4"/>
      <c r="L130" s="122" t="s">
        <v>56</v>
      </c>
      <c r="M130" s="87"/>
      <c r="N130" s="88"/>
      <c r="O130" s="123">
        <f>SUM(O111:O129)</f>
        <v>0</v>
      </c>
      <c r="P130" s="1"/>
    </row>
    <row r="131" ht="17.25" customHeight="1">
      <c r="A131" s="1"/>
      <c r="B131" s="97"/>
      <c r="C131" s="96"/>
      <c r="D131" s="96"/>
      <c r="E131" s="96"/>
      <c r="F131" s="66"/>
      <c r="G131" s="97"/>
      <c r="H131" s="96"/>
      <c r="I131" s="96"/>
      <c r="J131" s="96"/>
      <c r="K131" s="1"/>
      <c r="L131" s="97"/>
      <c r="M131" s="96"/>
      <c r="N131" s="96"/>
      <c r="O131" s="96"/>
      <c r="P131" s="1"/>
    </row>
    <row r="132" ht="24.0" customHeight="1">
      <c r="A132" s="4"/>
      <c r="B132" s="139" t="str">
        <f>'🏦COVER🏦'!D14</f>
        <v>#REF!</v>
      </c>
      <c r="C132" s="140" t="s">
        <v>5</v>
      </c>
      <c r="D132" s="140" t="s">
        <v>6</v>
      </c>
      <c r="E132" s="140" t="s">
        <v>7</v>
      </c>
      <c r="F132" s="141"/>
      <c r="G132" s="134" t="str">
        <f>B132</f>
        <v>#REF!</v>
      </c>
      <c r="H132" s="103" t="s">
        <v>5</v>
      </c>
      <c r="I132" s="103" t="s">
        <v>6</v>
      </c>
      <c r="J132" s="103" t="s">
        <v>7</v>
      </c>
      <c r="K132" s="16"/>
      <c r="L132" s="134" t="str">
        <f>B132</f>
        <v>#REF!</v>
      </c>
      <c r="M132" s="103" t="s">
        <v>5</v>
      </c>
      <c r="N132" s="103" t="s">
        <v>6</v>
      </c>
      <c r="O132" s="103" t="s">
        <v>7</v>
      </c>
      <c r="P132" s="135"/>
    </row>
    <row r="133" ht="15.0" customHeight="1">
      <c r="A133" s="4"/>
      <c r="B133" s="142"/>
      <c r="C133" s="106"/>
      <c r="D133" s="143"/>
      <c r="E133" s="144">
        <f t="shared" ref="E133:E144" si="22">C133*D133</f>
        <v>0</v>
      </c>
      <c r="F133" s="141" t="str">
        <f t="shared" ref="F133:F140" si="23">G133</f>
        <v/>
      </c>
      <c r="G133" s="142"/>
      <c r="H133" s="136"/>
      <c r="I133" s="145"/>
      <c r="J133" s="137">
        <f t="shared" ref="J133:J144" si="24">H133*I133</f>
        <v>0</v>
      </c>
      <c r="K133" s="146"/>
      <c r="L133" s="142"/>
      <c r="M133" s="131"/>
      <c r="N133" s="107"/>
      <c r="O133" s="111">
        <f t="shared" ref="O133:O144" si="25">M133*N133</f>
        <v>0</v>
      </c>
      <c r="P133" s="147"/>
    </row>
    <row r="134" ht="15.0" customHeight="1">
      <c r="A134" s="4"/>
      <c r="B134" s="148"/>
      <c r="C134" s="131"/>
      <c r="D134" s="107"/>
      <c r="E134" s="149">
        <f t="shared" si="22"/>
        <v>0</v>
      </c>
      <c r="F134" s="66" t="str">
        <f t="shared" si="23"/>
        <v/>
      </c>
      <c r="G134" s="148"/>
      <c r="H134" s="131"/>
      <c r="I134" s="107"/>
      <c r="J134" s="150">
        <f t="shared" si="24"/>
        <v>0</v>
      </c>
      <c r="K134" s="151"/>
      <c r="L134" s="148"/>
      <c r="M134" s="131"/>
      <c r="N134" s="107"/>
      <c r="O134" s="111">
        <f t="shared" si="25"/>
        <v>0</v>
      </c>
      <c r="P134" s="147"/>
    </row>
    <row r="135" ht="15.0" customHeight="1">
      <c r="A135" s="1"/>
      <c r="B135" s="148"/>
      <c r="C135" s="131"/>
      <c r="D135" s="107"/>
      <c r="E135" s="109">
        <f t="shared" si="22"/>
        <v>0</v>
      </c>
      <c r="F135" s="66" t="str">
        <f t="shared" si="23"/>
        <v/>
      </c>
      <c r="G135" s="148"/>
      <c r="H135" s="131"/>
      <c r="I135" s="107"/>
      <c r="J135" s="109">
        <f t="shared" si="24"/>
        <v>0</v>
      </c>
      <c r="K135" s="151"/>
      <c r="L135" s="148"/>
      <c r="M135" s="131"/>
      <c r="N135" s="107"/>
      <c r="O135" s="109">
        <f t="shared" si="25"/>
        <v>0</v>
      </c>
      <c r="P135" s="147"/>
    </row>
    <row r="136" ht="15.0" customHeight="1">
      <c r="A136" s="1"/>
      <c r="B136" s="148"/>
      <c r="C136" s="131"/>
      <c r="D136" s="107"/>
      <c r="E136" s="109">
        <f t="shared" si="22"/>
        <v>0</v>
      </c>
      <c r="F136" s="66" t="str">
        <f t="shared" si="23"/>
        <v/>
      </c>
      <c r="G136" s="148"/>
      <c r="H136" s="131"/>
      <c r="I136" s="107"/>
      <c r="J136" s="109">
        <f t="shared" si="24"/>
        <v>0</v>
      </c>
      <c r="K136" s="147"/>
      <c r="L136" s="148"/>
      <c r="M136" s="131"/>
      <c r="N136" s="107"/>
      <c r="O136" s="109">
        <f t="shared" si="25"/>
        <v>0</v>
      </c>
      <c r="P136" s="147"/>
    </row>
    <row r="137" ht="15.0" customHeight="1">
      <c r="A137" s="1"/>
      <c r="B137" s="148"/>
      <c r="C137" s="131"/>
      <c r="D137" s="112"/>
      <c r="E137" s="109">
        <f t="shared" si="22"/>
        <v>0</v>
      </c>
      <c r="F137" s="66" t="str">
        <f t="shared" si="23"/>
        <v/>
      </c>
      <c r="G137" s="148"/>
      <c r="H137" s="131"/>
      <c r="I137" s="112"/>
      <c r="J137" s="109">
        <f t="shared" si="24"/>
        <v>0</v>
      </c>
      <c r="K137" s="152"/>
      <c r="L137" s="148"/>
      <c r="M137" s="131"/>
      <c r="N137" s="112"/>
      <c r="O137" s="109">
        <f t="shared" si="25"/>
        <v>0</v>
      </c>
      <c r="P137" s="152"/>
    </row>
    <row r="138" ht="15.0" customHeight="1">
      <c r="A138" s="1"/>
      <c r="B138" s="148"/>
      <c r="C138" s="131"/>
      <c r="D138" s="112"/>
      <c r="E138" s="109">
        <f t="shared" si="22"/>
        <v>0</v>
      </c>
      <c r="F138" s="66" t="str">
        <f t="shared" si="23"/>
        <v/>
      </c>
      <c r="G138" s="148"/>
      <c r="H138" s="131"/>
      <c r="I138" s="112"/>
      <c r="J138" s="109">
        <f t="shared" si="24"/>
        <v>0</v>
      </c>
      <c r="K138" s="152"/>
      <c r="L138" s="148"/>
      <c r="M138" s="131"/>
      <c r="N138" s="112"/>
      <c r="O138" s="109">
        <f t="shared" si="25"/>
        <v>0</v>
      </c>
      <c r="P138" s="152"/>
    </row>
    <row r="139" ht="15.0" customHeight="1">
      <c r="A139" s="1"/>
      <c r="B139" s="148"/>
      <c r="C139" s="153"/>
      <c r="D139" s="112"/>
      <c r="E139" s="109">
        <f t="shared" si="22"/>
        <v>0</v>
      </c>
      <c r="F139" s="66" t="str">
        <f t="shared" si="23"/>
        <v/>
      </c>
      <c r="G139" s="148"/>
      <c r="H139" s="153"/>
      <c r="I139" s="112"/>
      <c r="J139" s="109">
        <f t="shared" si="24"/>
        <v>0</v>
      </c>
      <c r="K139" s="1"/>
      <c r="L139" s="148"/>
      <c r="M139" s="153"/>
      <c r="N139" s="112"/>
      <c r="O139" s="109">
        <f t="shared" si="25"/>
        <v>0</v>
      </c>
      <c r="P139" s="1"/>
    </row>
    <row r="140" ht="15.0" customHeight="1">
      <c r="A140" s="1"/>
      <c r="B140" s="148"/>
      <c r="C140" s="154"/>
      <c r="D140" s="155"/>
      <c r="E140" s="109">
        <f t="shared" si="22"/>
        <v>0</v>
      </c>
      <c r="F140" s="66" t="str">
        <f t="shared" si="23"/>
        <v/>
      </c>
      <c r="G140" s="148"/>
      <c r="H140" s="154"/>
      <c r="I140" s="156"/>
      <c r="J140" s="109">
        <f t="shared" si="24"/>
        <v>0</v>
      </c>
      <c r="K140" s="1"/>
      <c r="L140" s="148"/>
      <c r="M140" s="157"/>
      <c r="N140" s="156"/>
      <c r="O140" s="109">
        <f t="shared" si="25"/>
        <v>0</v>
      </c>
      <c r="P140" s="1"/>
    </row>
    <row r="141" ht="15.0" customHeight="1">
      <c r="A141" s="1"/>
      <c r="B141" s="148"/>
      <c r="C141" s="154"/>
      <c r="D141" s="155"/>
      <c r="E141" s="109">
        <f t="shared" si="22"/>
        <v>0</v>
      </c>
      <c r="F141" s="66"/>
      <c r="G141" s="148"/>
      <c r="H141" s="154"/>
      <c r="I141" s="156"/>
      <c r="J141" s="109">
        <f t="shared" si="24"/>
        <v>0</v>
      </c>
      <c r="K141" s="1"/>
      <c r="L141" s="148"/>
      <c r="M141" s="157"/>
      <c r="N141" s="156"/>
      <c r="O141" s="109">
        <f t="shared" si="25"/>
        <v>0</v>
      </c>
      <c r="P141" s="1"/>
    </row>
    <row r="142" ht="15.0" customHeight="1">
      <c r="A142" s="1"/>
      <c r="B142" s="148"/>
      <c r="C142" s="154"/>
      <c r="D142" s="155"/>
      <c r="E142" s="109">
        <f t="shared" si="22"/>
        <v>0</v>
      </c>
      <c r="F142" s="66"/>
      <c r="G142" s="148"/>
      <c r="H142" s="154"/>
      <c r="I142" s="156"/>
      <c r="J142" s="109">
        <f t="shared" si="24"/>
        <v>0</v>
      </c>
      <c r="K142" s="1"/>
      <c r="L142" s="148"/>
      <c r="M142" s="157"/>
      <c r="N142" s="156"/>
      <c r="O142" s="109">
        <f t="shared" si="25"/>
        <v>0</v>
      </c>
      <c r="P142" s="1"/>
    </row>
    <row r="143" ht="15.0" customHeight="1">
      <c r="A143" s="1"/>
      <c r="B143" s="148"/>
      <c r="C143" s="154"/>
      <c r="D143" s="155"/>
      <c r="E143" s="109">
        <f t="shared" si="22"/>
        <v>0</v>
      </c>
      <c r="F143" s="66"/>
      <c r="G143" s="148"/>
      <c r="H143" s="154"/>
      <c r="I143" s="156"/>
      <c r="J143" s="109">
        <f t="shared" si="24"/>
        <v>0</v>
      </c>
      <c r="K143" s="1"/>
      <c r="L143" s="148"/>
      <c r="M143" s="157"/>
      <c r="N143" s="156"/>
      <c r="O143" s="109">
        <f t="shared" si="25"/>
        <v>0</v>
      </c>
      <c r="P143" s="1"/>
    </row>
    <row r="144" ht="15.0" customHeight="1">
      <c r="A144" s="1"/>
      <c r="B144" s="148"/>
      <c r="C144" s="154"/>
      <c r="D144" s="155"/>
      <c r="E144" s="109">
        <f t="shared" si="22"/>
        <v>0</v>
      </c>
      <c r="F144" s="66"/>
      <c r="G144" s="148"/>
      <c r="H144" s="154"/>
      <c r="I144" s="156"/>
      <c r="J144" s="109">
        <f t="shared" si="24"/>
        <v>0</v>
      </c>
      <c r="K144" s="1"/>
      <c r="L144" s="148"/>
      <c r="M144" s="157"/>
      <c r="N144" s="156"/>
      <c r="O144" s="109">
        <f t="shared" si="25"/>
        <v>0</v>
      </c>
      <c r="P144" s="1"/>
    </row>
    <row r="145" ht="18.75" customHeight="1">
      <c r="A145" s="4"/>
      <c r="B145" s="122" t="s">
        <v>56</v>
      </c>
      <c r="C145" s="87"/>
      <c r="D145" s="88"/>
      <c r="E145" s="123">
        <f>SUM(E132:E144)</f>
        <v>0</v>
      </c>
      <c r="F145" s="72"/>
      <c r="G145" s="122" t="s">
        <v>56</v>
      </c>
      <c r="H145" s="87"/>
      <c r="I145" s="88"/>
      <c r="J145" s="123">
        <f>SUM(J132:J144)</f>
        <v>0</v>
      </c>
      <c r="K145" s="4"/>
      <c r="L145" s="122" t="s">
        <v>56</v>
      </c>
      <c r="M145" s="87"/>
      <c r="N145" s="88"/>
      <c r="O145" s="123">
        <f>SUM(O132:O144)</f>
        <v>0</v>
      </c>
      <c r="P145" s="1"/>
    </row>
    <row r="146" ht="15.0" customHeight="1">
      <c r="A146" s="1"/>
      <c r="B146" s="1"/>
      <c r="C146" s="1"/>
      <c r="D146" s="1"/>
      <c r="E146" s="1"/>
      <c r="F146" s="66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27.0" customHeight="1">
      <c r="A147" s="1"/>
      <c r="B147" s="102" t="str">
        <f>'🏦COVER🏦'!D15</f>
        <v>#REF!</v>
      </c>
      <c r="C147" s="125" t="s">
        <v>5</v>
      </c>
      <c r="D147" s="125" t="s">
        <v>6</v>
      </c>
      <c r="E147" s="125" t="s">
        <v>7</v>
      </c>
      <c r="F147" s="66"/>
      <c r="G147" s="102" t="str">
        <f>B147</f>
        <v>#REF!</v>
      </c>
      <c r="H147" s="125" t="s">
        <v>5</v>
      </c>
      <c r="I147" s="125" t="s">
        <v>6</v>
      </c>
      <c r="J147" s="125" t="s">
        <v>7</v>
      </c>
      <c r="K147" s="1"/>
      <c r="L147" s="102" t="str">
        <f>B147</f>
        <v>#REF!</v>
      </c>
      <c r="M147" s="125" t="s">
        <v>5</v>
      </c>
      <c r="N147" s="125" t="s">
        <v>6</v>
      </c>
      <c r="O147" s="125" t="s">
        <v>7</v>
      </c>
      <c r="P147" s="1"/>
    </row>
    <row r="148" ht="15.0" customHeight="1">
      <c r="A148" s="4"/>
      <c r="B148" s="105"/>
      <c r="C148" s="158"/>
      <c r="D148" s="159"/>
      <c r="E148" s="108">
        <f t="shared" ref="E148:E157" si="26">C148*D148</f>
        <v>0</v>
      </c>
      <c r="F148" s="66" t="str">
        <f t="shared" ref="F148:F151" si="27">G148</f>
        <v/>
      </c>
      <c r="G148" s="105"/>
      <c r="H148" s="158"/>
      <c r="I148" s="159"/>
      <c r="J148" s="108">
        <f t="shared" ref="J148:J157" si="28">H148*I148</f>
        <v>0</v>
      </c>
      <c r="K148" s="1"/>
      <c r="L148" s="105"/>
      <c r="M148" s="158"/>
      <c r="N148" s="159"/>
      <c r="O148" s="108">
        <f t="shared" ref="O148:O157" si="29">M148*N148</f>
        <v>0</v>
      </c>
      <c r="P148" s="1"/>
    </row>
    <row r="149" ht="15.0" customHeight="1">
      <c r="A149" s="1"/>
      <c r="B149" s="110"/>
      <c r="C149" s="160"/>
      <c r="D149" s="112"/>
      <c r="E149" s="111">
        <f t="shared" si="26"/>
        <v>0</v>
      </c>
      <c r="F149" s="66" t="str">
        <f t="shared" si="27"/>
        <v/>
      </c>
      <c r="G149" s="110"/>
      <c r="H149" s="161"/>
      <c r="I149" s="112"/>
      <c r="J149" s="111">
        <f t="shared" si="28"/>
        <v>0</v>
      </c>
      <c r="K149" s="1"/>
      <c r="L149" s="110"/>
      <c r="M149" s="161"/>
      <c r="N149" s="112"/>
      <c r="O149" s="111">
        <f t="shared" si="29"/>
        <v>0</v>
      </c>
      <c r="P149" s="1"/>
    </row>
    <row r="150" ht="15.0" customHeight="1">
      <c r="A150" s="1"/>
      <c r="B150" s="162"/>
      <c r="C150" s="163"/>
      <c r="D150" s="164"/>
      <c r="E150" s="111">
        <f t="shared" si="26"/>
        <v>0</v>
      </c>
      <c r="F150" s="66" t="str">
        <f t="shared" si="27"/>
        <v/>
      </c>
      <c r="G150" s="162"/>
      <c r="H150" s="165"/>
      <c r="I150" s="112"/>
      <c r="J150" s="111">
        <f t="shared" si="28"/>
        <v>0</v>
      </c>
      <c r="K150" s="1"/>
      <c r="L150" s="162"/>
      <c r="M150" s="165"/>
      <c r="N150" s="112"/>
      <c r="O150" s="111">
        <f t="shared" si="29"/>
        <v>0</v>
      </c>
      <c r="P150" s="1"/>
    </row>
    <row r="151" ht="15.0" customHeight="1">
      <c r="A151" s="1"/>
      <c r="B151" s="162"/>
      <c r="C151" s="163"/>
      <c r="D151" s="166"/>
      <c r="E151" s="111">
        <f t="shared" si="26"/>
        <v>0</v>
      </c>
      <c r="F151" s="66" t="str">
        <f t="shared" si="27"/>
        <v/>
      </c>
      <c r="G151" s="162"/>
      <c r="H151" s="165"/>
      <c r="I151" s="107"/>
      <c r="J151" s="111">
        <f t="shared" si="28"/>
        <v>0</v>
      </c>
      <c r="K151" s="1"/>
      <c r="L151" s="162"/>
      <c r="M151" s="165"/>
      <c r="N151" s="107"/>
      <c r="O151" s="111">
        <f t="shared" si="29"/>
        <v>0</v>
      </c>
      <c r="P151" s="1"/>
    </row>
    <row r="152" ht="15.0" customHeight="1">
      <c r="A152" s="1"/>
      <c r="B152" s="167"/>
      <c r="C152" s="165"/>
      <c r="D152" s="166"/>
      <c r="E152" s="111">
        <f t="shared" si="26"/>
        <v>0</v>
      </c>
      <c r="F152" s="66"/>
      <c r="G152" s="167"/>
      <c r="H152" s="165"/>
      <c r="I152" s="112"/>
      <c r="J152" s="111">
        <f t="shared" si="28"/>
        <v>0</v>
      </c>
      <c r="K152" s="1"/>
      <c r="L152" s="167"/>
      <c r="M152" s="165"/>
      <c r="N152" s="112"/>
      <c r="O152" s="111">
        <f t="shared" si="29"/>
        <v>0</v>
      </c>
      <c r="P152" s="1"/>
    </row>
    <row r="153" ht="15.0" customHeight="1">
      <c r="A153" s="1"/>
      <c r="B153" s="110"/>
      <c r="C153" s="165"/>
      <c r="D153" s="155"/>
      <c r="E153" s="111">
        <f t="shared" si="26"/>
        <v>0</v>
      </c>
      <c r="F153" s="66" t="str">
        <f t="shared" ref="F153:F157" si="30">G153</f>
        <v/>
      </c>
      <c r="G153" s="110"/>
      <c r="H153" s="165"/>
      <c r="I153" s="112"/>
      <c r="J153" s="111">
        <f t="shared" si="28"/>
        <v>0</v>
      </c>
      <c r="K153" s="1"/>
      <c r="L153" s="110"/>
      <c r="M153" s="165"/>
      <c r="N153" s="112"/>
      <c r="O153" s="111">
        <f t="shared" si="29"/>
        <v>0</v>
      </c>
      <c r="P153" s="1"/>
    </row>
    <row r="154" ht="15.0" customHeight="1">
      <c r="A154" s="1"/>
      <c r="B154" s="110"/>
      <c r="C154" s="165"/>
      <c r="D154" s="155"/>
      <c r="E154" s="111">
        <f t="shared" si="26"/>
        <v>0</v>
      </c>
      <c r="F154" s="66" t="str">
        <f t="shared" si="30"/>
        <v/>
      </c>
      <c r="G154" s="110"/>
      <c r="H154" s="165"/>
      <c r="I154" s="112"/>
      <c r="J154" s="111">
        <f t="shared" si="28"/>
        <v>0</v>
      </c>
      <c r="K154" s="1"/>
      <c r="L154" s="110"/>
      <c r="M154" s="165"/>
      <c r="N154" s="112"/>
      <c r="O154" s="111">
        <f t="shared" si="29"/>
        <v>0</v>
      </c>
      <c r="P154" s="1"/>
    </row>
    <row r="155" ht="15.0" customHeight="1">
      <c r="A155" s="1"/>
      <c r="B155" s="110"/>
      <c r="C155" s="165"/>
      <c r="D155" s="155"/>
      <c r="E155" s="111">
        <f t="shared" si="26"/>
        <v>0</v>
      </c>
      <c r="F155" s="66" t="str">
        <f t="shared" si="30"/>
        <v/>
      </c>
      <c r="G155" s="110"/>
      <c r="H155" s="165"/>
      <c r="I155" s="112"/>
      <c r="J155" s="111">
        <f t="shared" si="28"/>
        <v>0</v>
      </c>
      <c r="K155" s="1"/>
      <c r="L155" s="110"/>
      <c r="M155" s="165"/>
      <c r="N155" s="112"/>
      <c r="O155" s="111">
        <f t="shared" si="29"/>
        <v>0</v>
      </c>
      <c r="P155" s="1"/>
    </row>
    <row r="156" ht="15.0" customHeight="1">
      <c r="A156" s="1"/>
      <c r="B156" s="110"/>
      <c r="C156" s="165"/>
      <c r="D156" s="155"/>
      <c r="E156" s="111">
        <f t="shared" si="26"/>
        <v>0</v>
      </c>
      <c r="F156" s="66" t="str">
        <f t="shared" si="30"/>
        <v/>
      </c>
      <c r="G156" s="110"/>
      <c r="H156" s="165"/>
      <c r="I156" s="112"/>
      <c r="J156" s="111">
        <f t="shared" si="28"/>
        <v>0</v>
      </c>
      <c r="K156" s="1"/>
      <c r="L156" s="110"/>
      <c r="M156" s="165"/>
      <c r="N156" s="112"/>
      <c r="O156" s="111">
        <f t="shared" si="29"/>
        <v>0</v>
      </c>
      <c r="P156" s="1"/>
    </row>
    <row r="157" ht="15.0" customHeight="1">
      <c r="A157" s="1"/>
      <c r="B157" s="110"/>
      <c r="C157" s="165"/>
      <c r="D157" s="155"/>
      <c r="E157" s="111">
        <f t="shared" si="26"/>
        <v>0</v>
      </c>
      <c r="F157" s="66" t="str">
        <f t="shared" si="30"/>
        <v/>
      </c>
      <c r="G157" s="110"/>
      <c r="H157" s="165"/>
      <c r="I157" s="112"/>
      <c r="J157" s="111">
        <f t="shared" si="28"/>
        <v>0</v>
      </c>
      <c r="K157" s="1"/>
      <c r="L157" s="110"/>
      <c r="M157" s="165"/>
      <c r="N157" s="112"/>
      <c r="O157" s="111">
        <f t="shared" si="29"/>
        <v>0</v>
      </c>
      <c r="P157" s="1"/>
    </row>
    <row r="158" ht="15.0" customHeight="1">
      <c r="A158" s="4"/>
      <c r="B158" s="122" t="s">
        <v>56</v>
      </c>
      <c r="C158" s="87"/>
      <c r="D158" s="88"/>
      <c r="E158" s="123">
        <f>SUM(E149:E157)</f>
        <v>0</v>
      </c>
      <c r="F158" s="133" t="s">
        <v>128</v>
      </c>
      <c r="G158" s="122" t="s">
        <v>56</v>
      </c>
      <c r="H158" s="87"/>
      <c r="I158" s="88"/>
      <c r="J158" s="123">
        <f>SUM(J149:J157)</f>
        <v>0</v>
      </c>
      <c r="K158" s="4"/>
      <c r="L158" s="122" t="s">
        <v>56</v>
      </c>
      <c r="M158" s="87"/>
      <c r="N158" s="88"/>
      <c r="O158" s="123">
        <f>SUM(O149:O157)</f>
        <v>0</v>
      </c>
      <c r="P158" s="1"/>
    </row>
    <row r="159" ht="15.0" customHeight="1">
      <c r="A159" s="1"/>
      <c r="B159" s="168"/>
      <c r="C159" s="168"/>
      <c r="D159" s="168"/>
      <c r="E159" s="1"/>
      <c r="F159" s="169" t="s">
        <v>129</v>
      </c>
      <c r="G159" s="168"/>
      <c r="H159" s="168"/>
      <c r="I159" s="168"/>
      <c r="J159" s="1"/>
      <c r="K159" s="1"/>
      <c r="L159" s="168"/>
      <c r="M159" s="168"/>
      <c r="N159" s="168"/>
      <c r="O159" s="1"/>
      <c r="P159" s="1"/>
    </row>
    <row r="160" ht="24.75" customHeight="1">
      <c r="A160" s="1"/>
      <c r="B160" s="102" t="str">
        <f>'🏦COVER🏦'!D16</f>
        <v>#REF!</v>
      </c>
      <c r="C160" s="125" t="s">
        <v>5</v>
      </c>
      <c r="D160" s="125" t="s">
        <v>6</v>
      </c>
      <c r="E160" s="125" t="s">
        <v>7</v>
      </c>
      <c r="F160" s="66"/>
      <c r="G160" s="102" t="str">
        <f>B160</f>
        <v>#REF!</v>
      </c>
      <c r="H160" s="125" t="s">
        <v>5</v>
      </c>
      <c r="I160" s="125" t="s">
        <v>6</v>
      </c>
      <c r="J160" s="125" t="s">
        <v>7</v>
      </c>
      <c r="K160" s="1"/>
      <c r="L160" s="102" t="str">
        <f>B160</f>
        <v>#REF!</v>
      </c>
      <c r="M160" s="125" t="s">
        <v>5</v>
      </c>
      <c r="N160" s="125" t="s">
        <v>6</v>
      </c>
      <c r="O160" s="125" t="s">
        <v>7</v>
      </c>
      <c r="P160" s="1"/>
    </row>
    <row r="161" ht="15.0" customHeight="1">
      <c r="A161" s="4"/>
      <c r="B161" s="105"/>
      <c r="C161" s="158"/>
      <c r="D161" s="159"/>
      <c r="E161" s="108">
        <f t="shared" ref="E161:E170" si="31">C161*D161</f>
        <v>0</v>
      </c>
      <c r="F161" s="66" t="str">
        <f>G161</f>
        <v/>
      </c>
      <c r="G161" s="105"/>
      <c r="H161" s="158"/>
      <c r="I161" s="112"/>
      <c r="J161" s="108">
        <f t="shared" ref="J161:J170" si="32">H161*I161</f>
        <v>0</v>
      </c>
      <c r="K161" s="4"/>
      <c r="L161" s="105"/>
      <c r="M161" s="158"/>
      <c r="N161" s="159"/>
      <c r="O161" s="108">
        <f t="shared" ref="O161:O170" si="33">M161*N161</f>
        <v>0</v>
      </c>
      <c r="P161" s="1"/>
    </row>
    <row r="162" ht="15.0" customHeight="1">
      <c r="A162" s="4"/>
      <c r="B162" s="110"/>
      <c r="C162" s="161"/>
      <c r="D162" s="112"/>
      <c r="E162" s="108">
        <f t="shared" si="31"/>
        <v>0</v>
      </c>
      <c r="F162" s="66"/>
      <c r="G162" s="110"/>
      <c r="H162" s="161"/>
      <c r="I162" s="112"/>
      <c r="J162" s="108">
        <f t="shared" si="32"/>
        <v>0</v>
      </c>
      <c r="K162" s="4"/>
      <c r="L162" s="110"/>
      <c r="M162" s="161"/>
      <c r="N162" s="112"/>
      <c r="O162" s="108">
        <f t="shared" si="33"/>
        <v>0</v>
      </c>
      <c r="P162" s="1"/>
    </row>
    <row r="163" ht="15.0" customHeight="1">
      <c r="A163" s="1"/>
      <c r="B163" s="127"/>
      <c r="C163" s="161"/>
      <c r="D163" s="112"/>
      <c r="E163" s="149">
        <f t="shared" si="31"/>
        <v>0</v>
      </c>
      <c r="F163" s="66" t="str">
        <f t="shared" ref="F163:F170" si="34">G163</f>
        <v/>
      </c>
      <c r="G163" s="127"/>
      <c r="H163" s="161"/>
      <c r="I163" s="112"/>
      <c r="J163" s="149">
        <f t="shared" si="32"/>
        <v>0</v>
      </c>
      <c r="K163" s="4"/>
      <c r="L163" s="127"/>
      <c r="M163" s="161"/>
      <c r="N163" s="112"/>
      <c r="O163" s="149">
        <f t="shared" si="33"/>
        <v>0</v>
      </c>
      <c r="P163" s="1"/>
    </row>
    <row r="164" ht="15.0" customHeight="1">
      <c r="A164" s="1"/>
      <c r="B164" s="127"/>
      <c r="C164" s="161"/>
      <c r="D164" s="112"/>
      <c r="E164" s="149">
        <f t="shared" si="31"/>
        <v>0</v>
      </c>
      <c r="F164" s="66" t="str">
        <f t="shared" si="34"/>
        <v/>
      </c>
      <c r="G164" s="127"/>
      <c r="H164" s="161"/>
      <c r="I164" s="112"/>
      <c r="J164" s="149">
        <f t="shared" si="32"/>
        <v>0</v>
      </c>
      <c r="K164" s="4"/>
      <c r="L164" s="127"/>
      <c r="M164" s="161"/>
      <c r="N164" s="112"/>
      <c r="O164" s="149">
        <f t="shared" si="33"/>
        <v>0</v>
      </c>
      <c r="P164" s="1"/>
    </row>
    <row r="165" ht="15.0" customHeight="1">
      <c r="A165" s="1"/>
      <c r="B165" s="127"/>
      <c r="C165" s="161"/>
      <c r="D165" s="112"/>
      <c r="E165" s="149">
        <f t="shared" si="31"/>
        <v>0</v>
      </c>
      <c r="F165" s="66" t="str">
        <f t="shared" si="34"/>
        <v/>
      </c>
      <c r="G165" s="127"/>
      <c r="H165" s="161"/>
      <c r="I165" s="112"/>
      <c r="J165" s="130">
        <f t="shared" si="32"/>
        <v>0</v>
      </c>
      <c r="K165" s="1"/>
      <c r="L165" s="127"/>
      <c r="M165" s="161"/>
      <c r="N165" s="112"/>
      <c r="O165" s="130">
        <f t="shared" si="33"/>
        <v>0</v>
      </c>
      <c r="P165" s="1"/>
    </row>
    <row r="166" ht="15.0" customHeight="1">
      <c r="A166" s="1"/>
      <c r="B166" s="127"/>
      <c r="C166" s="161"/>
      <c r="D166" s="112"/>
      <c r="E166" s="149">
        <f t="shared" si="31"/>
        <v>0</v>
      </c>
      <c r="F166" s="66" t="str">
        <f t="shared" si="34"/>
        <v/>
      </c>
      <c r="G166" s="127"/>
      <c r="H166" s="161"/>
      <c r="I166" s="112"/>
      <c r="J166" s="138">
        <f t="shared" si="32"/>
        <v>0</v>
      </c>
      <c r="K166" s="1"/>
      <c r="L166" s="127"/>
      <c r="M166" s="161"/>
      <c r="N166" s="112"/>
      <c r="O166" s="138">
        <f t="shared" si="33"/>
        <v>0</v>
      </c>
      <c r="P166" s="1"/>
    </row>
    <row r="167" ht="15.0" customHeight="1">
      <c r="A167" s="1"/>
      <c r="B167" s="127"/>
      <c r="C167" s="161"/>
      <c r="D167" s="112"/>
      <c r="E167" s="149">
        <f t="shared" si="31"/>
        <v>0</v>
      </c>
      <c r="F167" s="66" t="str">
        <f t="shared" si="34"/>
        <v/>
      </c>
      <c r="G167" s="127"/>
      <c r="H167" s="161"/>
      <c r="I167" s="112"/>
      <c r="J167" s="149">
        <f t="shared" si="32"/>
        <v>0</v>
      </c>
      <c r="K167" s="1"/>
      <c r="L167" s="127"/>
      <c r="M167" s="161"/>
      <c r="N167" s="112"/>
      <c r="O167" s="149">
        <f t="shared" si="33"/>
        <v>0</v>
      </c>
      <c r="P167" s="1"/>
    </row>
    <row r="168" ht="15.0" customHeight="1">
      <c r="A168" s="1"/>
      <c r="B168" s="127"/>
      <c r="C168" s="161"/>
      <c r="D168" s="112"/>
      <c r="E168" s="149">
        <f t="shared" si="31"/>
        <v>0</v>
      </c>
      <c r="F168" s="66" t="str">
        <f t="shared" si="34"/>
        <v/>
      </c>
      <c r="G168" s="127"/>
      <c r="H168" s="161"/>
      <c r="I168" s="112"/>
      <c r="J168" s="149">
        <f t="shared" si="32"/>
        <v>0</v>
      </c>
      <c r="K168" s="1"/>
      <c r="L168" s="127"/>
      <c r="M168" s="161"/>
      <c r="N168" s="112"/>
      <c r="O168" s="149">
        <f t="shared" si="33"/>
        <v>0</v>
      </c>
      <c r="P168" s="1"/>
    </row>
    <row r="169" ht="15.0" customHeight="1">
      <c r="A169" s="1"/>
      <c r="B169" s="127"/>
      <c r="C169" s="161"/>
      <c r="D169" s="112"/>
      <c r="E169" s="149">
        <f t="shared" si="31"/>
        <v>0</v>
      </c>
      <c r="F169" s="66" t="str">
        <f t="shared" si="34"/>
        <v/>
      </c>
      <c r="G169" s="127"/>
      <c r="H169" s="161"/>
      <c r="I169" s="112"/>
      <c r="J169" s="149">
        <f t="shared" si="32"/>
        <v>0</v>
      </c>
      <c r="K169" s="1"/>
      <c r="L169" s="127"/>
      <c r="M169" s="161"/>
      <c r="N169" s="112"/>
      <c r="O169" s="149">
        <f t="shared" si="33"/>
        <v>0</v>
      </c>
      <c r="P169" s="1"/>
    </row>
    <row r="170" ht="15.0" customHeight="1">
      <c r="A170" s="1"/>
      <c r="B170" s="127"/>
      <c r="C170" s="161"/>
      <c r="D170" s="112"/>
      <c r="E170" s="149">
        <f t="shared" si="31"/>
        <v>0</v>
      </c>
      <c r="F170" s="66" t="str">
        <f t="shared" si="34"/>
        <v/>
      </c>
      <c r="G170" s="127"/>
      <c r="H170" s="161"/>
      <c r="I170" s="112"/>
      <c r="J170" s="149">
        <f t="shared" si="32"/>
        <v>0</v>
      </c>
      <c r="K170" s="1"/>
      <c r="L170" s="127"/>
      <c r="M170" s="161"/>
      <c r="N170" s="112"/>
      <c r="O170" s="149">
        <f t="shared" si="33"/>
        <v>0</v>
      </c>
      <c r="P170" s="1"/>
    </row>
    <row r="171" ht="18.75" customHeight="1">
      <c r="A171" s="4"/>
      <c r="B171" s="122" t="s">
        <v>56</v>
      </c>
      <c r="C171" s="87"/>
      <c r="D171" s="88"/>
      <c r="E171" s="123">
        <f>SUM(E161:E170)</f>
        <v>0</v>
      </c>
      <c r="F171" s="4"/>
      <c r="G171" s="122" t="s">
        <v>56</v>
      </c>
      <c r="H171" s="87"/>
      <c r="I171" s="88"/>
      <c r="J171" s="123">
        <f>SUM(J161:J170)</f>
        <v>0</v>
      </c>
      <c r="K171" s="4"/>
      <c r="L171" s="122" t="s">
        <v>56</v>
      </c>
      <c r="M171" s="87"/>
      <c r="N171" s="88"/>
      <c r="O171" s="123">
        <f>SUM(O161:O170)</f>
        <v>0</v>
      </c>
      <c r="P171" s="1"/>
    </row>
    <row r="172" ht="15.0" customHeight="1">
      <c r="A172" s="1"/>
      <c r="B172" s="168"/>
      <c r="C172" s="168"/>
      <c r="D172" s="168"/>
      <c r="E172" s="1"/>
      <c r="F172" s="1"/>
      <c r="G172" s="168"/>
      <c r="H172" s="168"/>
      <c r="I172" s="168"/>
      <c r="J172" s="1"/>
      <c r="K172" s="1"/>
      <c r="L172" s="168"/>
      <c r="M172" s="168"/>
      <c r="N172" s="168"/>
      <c r="O172" s="1"/>
      <c r="P172" s="1"/>
    </row>
  </sheetData>
  <mergeCells count="58">
    <mergeCell ref="L29:N29"/>
    <mergeCell ref="L30:N30"/>
    <mergeCell ref="L32:N32"/>
    <mergeCell ref="L33:N33"/>
    <mergeCell ref="L34:N34"/>
    <mergeCell ref="L35:N35"/>
    <mergeCell ref="L36:N36"/>
    <mergeCell ref="G30:I30"/>
    <mergeCell ref="G31:I31"/>
    <mergeCell ref="G32:I32"/>
    <mergeCell ref="G33:I33"/>
    <mergeCell ref="G34:I34"/>
    <mergeCell ref="G35:I35"/>
    <mergeCell ref="G36:I36"/>
    <mergeCell ref="B1:O1"/>
    <mergeCell ref="B2:E2"/>
    <mergeCell ref="G2:J2"/>
    <mergeCell ref="L2:O2"/>
    <mergeCell ref="B3:E3"/>
    <mergeCell ref="G3:J3"/>
    <mergeCell ref="L3:O3"/>
    <mergeCell ref="B27:D27"/>
    <mergeCell ref="G27:I27"/>
    <mergeCell ref="L27:N27"/>
    <mergeCell ref="B29:D29"/>
    <mergeCell ref="G29:I29"/>
    <mergeCell ref="B30:D30"/>
    <mergeCell ref="L31:N31"/>
    <mergeCell ref="G37:I37"/>
    <mergeCell ref="G39:J39"/>
    <mergeCell ref="L39:O39"/>
    <mergeCell ref="B37:D37"/>
    <mergeCell ref="B77:D77"/>
    <mergeCell ref="B108:D108"/>
    <mergeCell ref="B130:D130"/>
    <mergeCell ref="B145:D145"/>
    <mergeCell ref="B158:D158"/>
    <mergeCell ref="B171:D171"/>
    <mergeCell ref="B31:D31"/>
    <mergeCell ref="B32:D32"/>
    <mergeCell ref="B33:D33"/>
    <mergeCell ref="B34:D34"/>
    <mergeCell ref="B35:D35"/>
    <mergeCell ref="B36:D36"/>
    <mergeCell ref="B39:E39"/>
    <mergeCell ref="L37:N37"/>
    <mergeCell ref="L77:N77"/>
    <mergeCell ref="L108:N108"/>
    <mergeCell ref="L130:N130"/>
    <mergeCell ref="L145:N145"/>
    <mergeCell ref="L158:N158"/>
    <mergeCell ref="L171:N171"/>
    <mergeCell ref="G77:I77"/>
    <mergeCell ref="G108:I108"/>
    <mergeCell ref="G130:I130"/>
    <mergeCell ref="G145:I145"/>
    <mergeCell ref="G158:I158"/>
    <mergeCell ref="G171:I17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54.0"/>
    <col customWidth="1" min="3" max="3" width="21.29"/>
    <col customWidth="1" min="4" max="4" width="19.0"/>
    <col customWidth="1" min="5" max="5" width="26.57"/>
    <col customWidth="1" min="6" max="6" width="4.86"/>
    <col customWidth="1" min="7" max="9" width="17.29"/>
    <col customWidth="1" min="10" max="10" width="3.86"/>
    <col customWidth="1" min="11" max="11" width="25.71"/>
    <col customWidth="1" min="12" max="12" width="7.57"/>
    <col customWidth="1" hidden="1" min="13" max="15" width="17.29"/>
  </cols>
  <sheetData>
    <row r="1" ht="36.75" customHeight="1">
      <c r="A1" s="179"/>
      <c r="B1" s="180" t="s">
        <v>169</v>
      </c>
      <c r="C1" s="3"/>
      <c r="D1" s="3"/>
      <c r="E1" s="3"/>
      <c r="F1" s="3"/>
      <c r="G1" s="3"/>
      <c r="H1" s="3"/>
      <c r="I1" s="181"/>
      <c r="J1" s="179"/>
      <c r="K1" s="179"/>
      <c r="L1" s="179"/>
      <c r="M1" s="1"/>
      <c r="N1" s="1"/>
      <c r="O1" s="1"/>
    </row>
    <row r="2" ht="12.0" customHeight="1">
      <c r="A2" s="179"/>
      <c r="B2" s="182"/>
      <c r="C2" s="182"/>
      <c r="D2" s="182"/>
      <c r="E2" s="182"/>
      <c r="F2" s="183"/>
      <c r="G2" s="182"/>
      <c r="H2" s="182"/>
      <c r="I2" s="182"/>
      <c r="J2" s="179"/>
      <c r="K2" s="179"/>
      <c r="L2" s="179"/>
      <c r="M2" s="1"/>
      <c r="N2" s="1"/>
      <c r="O2" s="1"/>
    </row>
    <row r="3">
      <c r="A3" s="184"/>
      <c r="B3" s="185" t="s">
        <v>170</v>
      </c>
      <c r="C3" s="69"/>
      <c r="D3" s="70"/>
      <c r="E3" s="186" t="s">
        <v>7</v>
      </c>
      <c r="F3" s="187"/>
      <c r="G3" s="182"/>
      <c r="H3" s="182"/>
      <c r="I3" s="182"/>
      <c r="J3" s="179"/>
      <c r="K3" s="179"/>
      <c r="L3" s="1"/>
      <c r="M3" s="1"/>
      <c r="N3" s="1"/>
      <c r="O3" s="1"/>
    </row>
    <row r="4">
      <c r="A4" s="184"/>
      <c r="B4" s="188" t="str">
        <f>B8</f>
        <v>(revenue stream)</v>
      </c>
      <c r="C4" s="69"/>
      <c r="D4" s="70"/>
      <c r="E4" s="189">
        <f>E18</f>
        <v>0</v>
      </c>
      <c r="F4" s="187"/>
      <c r="G4" s="182"/>
      <c r="H4" s="182"/>
      <c r="I4" s="182"/>
      <c r="J4" s="179"/>
      <c r="K4" s="179"/>
      <c r="L4" s="1"/>
      <c r="M4" s="1"/>
      <c r="N4" s="1"/>
      <c r="O4" s="1"/>
    </row>
    <row r="5">
      <c r="A5" s="184"/>
      <c r="B5" s="190" t="s">
        <v>27</v>
      </c>
      <c r="C5" s="69"/>
      <c r="D5" s="70"/>
      <c r="E5" s="191">
        <f>SUM(E4)</f>
        <v>0</v>
      </c>
      <c r="F5" s="187"/>
      <c r="G5" s="182"/>
      <c r="H5" s="182"/>
      <c r="I5" s="182"/>
      <c r="J5" s="179"/>
      <c r="K5" s="179"/>
      <c r="L5" s="1"/>
      <c r="M5" s="1"/>
      <c r="N5" s="1"/>
      <c r="O5" s="1"/>
    </row>
    <row r="6" ht="12.0" customHeight="1">
      <c r="A6" s="179"/>
      <c r="B6" s="192"/>
      <c r="C6" s="192"/>
      <c r="D6" s="192"/>
      <c r="E6" s="192"/>
      <c r="F6" s="183"/>
      <c r="G6" s="182"/>
      <c r="H6" s="182"/>
      <c r="I6" s="182"/>
      <c r="J6" s="179"/>
      <c r="K6" s="179"/>
      <c r="L6" s="1"/>
      <c r="M6" s="1"/>
      <c r="N6" s="1"/>
      <c r="O6" s="1"/>
    </row>
    <row r="7" ht="28.5" customHeight="1">
      <c r="A7" s="184"/>
      <c r="B7" s="13" t="s">
        <v>3</v>
      </c>
      <c r="C7" s="14"/>
      <c r="D7" s="14"/>
      <c r="E7" s="15"/>
      <c r="F7" s="187"/>
      <c r="G7" s="193" t="s">
        <v>171</v>
      </c>
      <c r="H7" s="14"/>
      <c r="I7" s="15"/>
      <c r="J7" s="194"/>
      <c r="K7" s="179"/>
      <c r="L7" s="1"/>
      <c r="M7" s="1"/>
      <c r="N7" s="1"/>
      <c r="O7" s="1"/>
    </row>
    <row r="8" ht="24.0" customHeight="1">
      <c r="A8" s="184"/>
      <c r="B8" s="195" t="str">
        <f>'💰BUDGET PLAN💰'!G4</f>
        <v>(revenue stream)</v>
      </c>
      <c r="C8" s="196" t="s">
        <v>5</v>
      </c>
      <c r="D8" s="197" t="s">
        <v>6</v>
      </c>
      <c r="E8" s="198" t="s">
        <v>7</v>
      </c>
      <c r="F8" s="199"/>
      <c r="G8" s="200" t="s">
        <v>172</v>
      </c>
      <c r="H8" s="201" t="s">
        <v>173</v>
      </c>
      <c r="I8" s="202" t="s">
        <v>174</v>
      </c>
      <c r="J8" s="194"/>
      <c r="K8" s="179"/>
      <c r="L8" s="1"/>
      <c r="M8" s="1" t="s">
        <v>5</v>
      </c>
      <c r="N8" s="1" t="s">
        <v>175</v>
      </c>
      <c r="O8" s="1" t="s">
        <v>176</v>
      </c>
    </row>
    <row r="9">
      <c r="A9" s="184"/>
      <c r="B9" s="203"/>
      <c r="C9" s="204"/>
      <c r="D9" s="205"/>
      <c r="E9" s="33">
        <f t="shared" ref="E9:E17" si="1">C9*D9</f>
        <v>0</v>
      </c>
      <c r="F9" s="135"/>
      <c r="G9" s="206" t="str">
        <f t="shared" ref="G9:G18" si="2">IF(M9=0,"",E9/M9)</f>
        <v/>
      </c>
      <c r="H9" s="207" t="str">
        <f t="shared" ref="H9:H18" si="3">IF(N9=0,"",E9/N9)</f>
        <v/>
      </c>
      <c r="I9" s="208" t="str">
        <f t="shared" ref="I9:I18" si="4">IF(O9=0,"",E9/O9)</f>
        <v/>
      </c>
      <c r="J9" s="194"/>
      <c r="K9" s="179" t="str">
        <f t="shared" ref="K9:K12" si="5">IF(G9="","",IF(I9&gt;=1,$I$8,IF(H9&gt;=1,$H$8,$G$8)))</f>
        <v/>
      </c>
      <c r="L9" s="1"/>
      <c r="M9" s="1">
        <f>SUMIF('💰BUDGET PLAN💰'!$B$5:$B$10,B9,'💰BUDGET PLAN💰'!$E$5:$E$10)</f>
        <v>0</v>
      </c>
      <c r="N9" s="1">
        <f>SUMIF('💰BUDGET PLAN💰'!$G$5:$G$10,B9,'💰BUDGET PLAN💰'!$J$5:$J$10)</f>
        <v>0</v>
      </c>
      <c r="O9" s="1">
        <f>SUMIF('💰BUDGET PLAN💰'!$L$5:$L$10,B9,'💰BUDGET PLAN💰'!$O$5:$O$10)</f>
        <v>0</v>
      </c>
    </row>
    <row r="10">
      <c r="A10" s="184"/>
      <c r="B10" s="209"/>
      <c r="C10" s="204"/>
      <c r="D10" s="32"/>
      <c r="E10" s="33">
        <f t="shared" si="1"/>
        <v>0</v>
      </c>
      <c r="F10" s="100"/>
      <c r="G10" s="210" t="str">
        <f t="shared" si="2"/>
        <v/>
      </c>
      <c r="H10" s="211" t="str">
        <f t="shared" si="3"/>
        <v/>
      </c>
      <c r="I10" s="212" t="str">
        <f t="shared" si="4"/>
        <v/>
      </c>
      <c r="J10" s="194"/>
      <c r="K10" s="179" t="str">
        <f t="shared" si="5"/>
        <v/>
      </c>
      <c r="L10" s="1"/>
      <c r="M10" s="1">
        <f>SUMIF('💰BUDGET PLAN💰'!$B$5:$B$10,B10,'💰BUDGET PLAN💰'!$E$5:$E$10)</f>
        <v>0</v>
      </c>
      <c r="N10" s="1">
        <f>SUMIF('💰BUDGET PLAN💰'!$G$5:$G$10,B10,'💰BUDGET PLAN💰'!$J$5:$J$10)</f>
        <v>0</v>
      </c>
      <c r="O10" s="1">
        <f>SUMIF('💰BUDGET PLAN💰'!$L$5:$L$10,B10,'💰BUDGET PLAN💰'!$O$5:$O$10)</f>
        <v>0</v>
      </c>
    </row>
    <row r="11">
      <c r="A11" s="184"/>
      <c r="B11" s="213"/>
      <c r="C11" s="204"/>
      <c r="D11" s="32"/>
      <c r="E11" s="35">
        <f t="shared" si="1"/>
        <v>0</v>
      </c>
      <c r="F11" s="100"/>
      <c r="G11" s="210" t="str">
        <f t="shared" si="2"/>
        <v/>
      </c>
      <c r="H11" s="211" t="str">
        <f t="shared" si="3"/>
        <v/>
      </c>
      <c r="I11" s="212" t="str">
        <f t="shared" si="4"/>
        <v/>
      </c>
      <c r="J11" s="194"/>
      <c r="K11" s="179" t="str">
        <f t="shared" si="5"/>
        <v/>
      </c>
      <c r="L11" s="1"/>
      <c r="M11" s="1">
        <f>SUMIF('💰BUDGET PLAN💰'!$B$5:$B$10,B11,'💰BUDGET PLAN💰'!$E$5:$E$10)</f>
        <v>0</v>
      </c>
      <c r="N11" s="1">
        <f>SUMIF('💰BUDGET PLAN💰'!$G$5:$G$10,B11,'💰BUDGET PLAN💰'!$J$5:$J$10)</f>
        <v>0</v>
      </c>
      <c r="O11" s="1">
        <f>SUMIF('💰BUDGET PLAN💰'!$L$5:$L$10,B11,'💰BUDGET PLAN💰'!$O$5:$O$10)</f>
        <v>0</v>
      </c>
    </row>
    <row r="12">
      <c r="A12" s="184"/>
      <c r="B12" s="214"/>
      <c r="C12" s="204"/>
      <c r="D12" s="205"/>
      <c r="E12" s="37">
        <f t="shared" si="1"/>
        <v>0</v>
      </c>
      <c r="F12" s="100"/>
      <c r="G12" s="210" t="str">
        <f t="shared" si="2"/>
        <v/>
      </c>
      <c r="H12" s="211" t="str">
        <f t="shared" si="3"/>
        <v/>
      </c>
      <c r="I12" s="212" t="str">
        <f t="shared" si="4"/>
        <v/>
      </c>
      <c r="J12" s="194"/>
      <c r="K12" s="179" t="str">
        <f t="shared" si="5"/>
        <v/>
      </c>
      <c r="L12" s="1"/>
      <c r="M12" s="1">
        <f>SUMIF('💰BUDGET PLAN💰'!$B$5:$B$10,B12,'💰BUDGET PLAN💰'!$E$5:$E$10)</f>
        <v>0</v>
      </c>
      <c r="N12" s="1">
        <f>SUMIF('💰BUDGET PLAN💰'!$G$5:$G$10,B12,'💰BUDGET PLAN💰'!$J$5:$J$10)</f>
        <v>0</v>
      </c>
      <c r="O12" s="1">
        <f>SUMIF('💰BUDGET PLAN💰'!$L$5:$L$10,B12,'💰BUDGET PLAN💰'!$O$5:$O$10)</f>
        <v>0</v>
      </c>
    </row>
    <row r="13">
      <c r="A13" s="184"/>
      <c r="B13" s="214"/>
      <c r="C13" s="204"/>
      <c r="D13" s="205"/>
      <c r="E13" s="37">
        <f t="shared" si="1"/>
        <v>0</v>
      </c>
      <c r="F13" s="100"/>
      <c r="G13" s="210" t="str">
        <f t="shared" si="2"/>
        <v/>
      </c>
      <c r="H13" s="211" t="str">
        <f t="shared" si="3"/>
        <v/>
      </c>
      <c r="I13" s="212" t="str">
        <f t="shared" si="4"/>
        <v/>
      </c>
      <c r="J13" s="194"/>
      <c r="K13" s="179"/>
      <c r="L13" s="1"/>
      <c r="M13" s="1"/>
      <c r="N13" s="1"/>
      <c r="O13" s="1"/>
    </row>
    <row r="14">
      <c r="A14" s="184"/>
      <c r="B14" s="214"/>
      <c r="C14" s="31"/>
      <c r="D14" s="205"/>
      <c r="E14" s="37">
        <f t="shared" si="1"/>
        <v>0</v>
      </c>
      <c r="F14" s="100"/>
      <c r="G14" s="210" t="str">
        <f t="shared" si="2"/>
        <v/>
      </c>
      <c r="H14" s="215" t="str">
        <f t="shared" si="3"/>
        <v/>
      </c>
      <c r="I14" s="216" t="str">
        <f t="shared" si="4"/>
        <v/>
      </c>
      <c r="J14" s="194"/>
      <c r="K14" s="179"/>
      <c r="L14" s="1"/>
      <c r="M14" s="1"/>
      <c r="N14" s="1"/>
      <c r="O14" s="1"/>
    </row>
    <row r="15">
      <c r="A15" s="184"/>
      <c r="B15" s="214"/>
      <c r="C15" s="31"/>
      <c r="D15" s="205"/>
      <c r="E15" s="37">
        <f t="shared" si="1"/>
        <v>0</v>
      </c>
      <c r="F15" s="100"/>
      <c r="G15" s="210" t="str">
        <f t="shared" si="2"/>
        <v/>
      </c>
      <c r="H15" s="215" t="str">
        <f t="shared" si="3"/>
        <v/>
      </c>
      <c r="I15" s="216" t="str">
        <f t="shared" si="4"/>
        <v/>
      </c>
      <c r="J15" s="194"/>
      <c r="K15" s="179"/>
      <c r="L15" s="1"/>
      <c r="M15" s="1"/>
      <c r="N15" s="1"/>
      <c r="O15" s="1"/>
    </row>
    <row r="16">
      <c r="A16" s="184"/>
      <c r="B16" s="214"/>
      <c r="C16" s="204"/>
      <c r="D16" s="205"/>
      <c r="E16" s="37">
        <f t="shared" si="1"/>
        <v>0</v>
      </c>
      <c r="F16" s="100"/>
      <c r="G16" s="217" t="str">
        <f t="shared" si="2"/>
        <v/>
      </c>
      <c r="H16" s="215" t="str">
        <f t="shared" si="3"/>
        <v/>
      </c>
      <c r="I16" s="216" t="str">
        <f t="shared" si="4"/>
        <v/>
      </c>
      <c r="J16" s="194"/>
      <c r="K16" s="179"/>
      <c r="L16" s="1"/>
      <c r="M16" s="1"/>
      <c r="N16" s="1"/>
      <c r="O16" s="1"/>
    </row>
    <row r="17">
      <c r="A17" s="184"/>
      <c r="B17" s="214"/>
      <c r="C17" s="204"/>
      <c r="D17" s="205"/>
      <c r="E17" s="37">
        <f t="shared" si="1"/>
        <v>0</v>
      </c>
      <c r="F17" s="100"/>
      <c r="G17" s="217" t="str">
        <f t="shared" si="2"/>
        <v/>
      </c>
      <c r="H17" s="215" t="str">
        <f t="shared" si="3"/>
        <v/>
      </c>
      <c r="I17" s="216" t="str">
        <f t="shared" si="4"/>
        <v/>
      </c>
      <c r="J17" s="194"/>
      <c r="K17" s="179"/>
      <c r="L17" s="1"/>
      <c r="M17" s="1"/>
      <c r="N17" s="1"/>
      <c r="O17" s="1"/>
    </row>
    <row r="18" ht="19.5" customHeight="1">
      <c r="A18" s="218"/>
      <c r="B18" s="219" t="s">
        <v>27</v>
      </c>
      <c r="C18" s="220"/>
      <c r="D18" s="221"/>
      <c r="E18" s="222">
        <f>SUM(E9:E17)</f>
        <v>0</v>
      </c>
      <c r="F18" s="223"/>
      <c r="G18" s="224" t="str">
        <f t="shared" si="2"/>
        <v/>
      </c>
      <c r="H18" s="225" t="str">
        <f t="shared" si="3"/>
        <v/>
      </c>
      <c r="I18" s="226" t="str">
        <f t="shared" si="4"/>
        <v/>
      </c>
      <c r="J18" s="223"/>
      <c r="K18" s="227" t="str">
        <f>IF(G18="","",IF(I18&gt;=1,$I$8,IF(H18&gt;=1,$H$8,$G$8)))</f>
        <v/>
      </c>
      <c r="L18" s="96"/>
      <c r="M18" s="228">
        <f>'💰BUDGET PLAN💰'!E27</f>
        <v>0</v>
      </c>
      <c r="N18" s="228">
        <f>'💰BUDGET PLAN💰'!J27</f>
        <v>0</v>
      </c>
      <c r="O18" s="228">
        <f>'💰BUDGET PLAN💰'!O27</f>
        <v>0</v>
      </c>
    </row>
    <row r="19" ht="19.5" customHeight="1">
      <c r="A19" s="229"/>
      <c r="B19" s="230"/>
      <c r="C19" s="230"/>
      <c r="D19" s="230"/>
      <c r="E19" s="231"/>
      <c r="F19" s="229"/>
      <c r="G19" s="232"/>
      <c r="H19" s="232"/>
      <c r="I19" s="232"/>
      <c r="J19" s="229"/>
      <c r="K19" s="233"/>
      <c r="L19" s="234"/>
      <c r="M19" s="235"/>
      <c r="N19" s="235"/>
      <c r="O19" s="235"/>
    </row>
    <row r="20" ht="27.75" customHeight="1">
      <c r="A20" s="236"/>
      <c r="B20" s="237" t="s">
        <v>177</v>
      </c>
      <c r="C20" s="56"/>
      <c r="D20" s="57"/>
      <c r="E20" s="238" t="s">
        <v>7</v>
      </c>
      <c r="F20" s="239"/>
      <c r="G20" s="232"/>
      <c r="H20" s="232"/>
      <c r="I20" s="232"/>
      <c r="J20" s="240"/>
      <c r="K20" s="241"/>
      <c r="L20" s="168"/>
      <c r="M20" s="168"/>
      <c r="N20" s="168"/>
      <c r="O20" s="168"/>
    </row>
    <row r="21" ht="15.75" customHeight="1">
      <c r="A21" s="184"/>
      <c r="B21" s="242" t="str">
        <f>B32</f>
        <v>ACARA</v>
      </c>
      <c r="C21" s="63"/>
      <c r="D21" s="64"/>
      <c r="E21" s="243">
        <f>E47</f>
        <v>1000000</v>
      </c>
      <c r="F21" s="100"/>
      <c r="G21" s="232"/>
      <c r="H21" s="232"/>
      <c r="I21" s="232"/>
      <c r="J21" s="194"/>
      <c r="K21" s="179" t="str">
        <f t="shared" ref="K21:K27" si="6">IF(G21="","",IF(I21&gt;=1,$I$8,IF(H21&gt;=1,$H$8,$G$8)))</f>
        <v/>
      </c>
      <c r="L21" s="1"/>
      <c r="M21" s="244">
        <f>'💰BUDGET PLAN💰'!E30</f>
        <v>0</v>
      </c>
      <c r="N21" s="244">
        <f>'💰BUDGET PLAN💰'!J30</f>
        <v>0</v>
      </c>
      <c r="O21" s="244" t="str">
        <f t="shared" ref="O21:O26" si="7">#REF!</f>
        <v>#REF!</v>
      </c>
    </row>
    <row r="22" ht="15.75" customHeight="1">
      <c r="A22" s="184"/>
      <c r="B22" s="245" t="str">
        <f>B49</f>
        <v>Divisi A</v>
      </c>
      <c r="C22" s="69"/>
      <c r="D22" s="70"/>
      <c r="E22" s="246">
        <f>E78</f>
        <v>0</v>
      </c>
      <c r="F22" s="100"/>
      <c r="G22" s="232"/>
      <c r="H22" s="232"/>
      <c r="I22" s="232"/>
      <c r="J22" s="194"/>
      <c r="K22" s="179" t="str">
        <f t="shared" si="6"/>
        <v/>
      </c>
      <c r="L22" s="1"/>
      <c r="M22" s="244">
        <f>'💰BUDGET PLAN💰'!E31</f>
        <v>0</v>
      </c>
      <c r="N22" s="244">
        <f>'💰BUDGET PLAN💰'!J31</f>
        <v>0</v>
      </c>
      <c r="O22" s="244" t="str">
        <f t="shared" si="7"/>
        <v>#REF!</v>
      </c>
    </row>
    <row r="23" ht="15.75" customHeight="1">
      <c r="A23" s="184"/>
      <c r="B23" s="245" t="str">
        <f>B80</f>
        <v>Divisi A</v>
      </c>
      <c r="C23" s="69"/>
      <c r="D23" s="70"/>
      <c r="E23" s="247">
        <f>E100</f>
        <v>0</v>
      </c>
      <c r="F23" s="100"/>
      <c r="G23" s="232"/>
      <c r="H23" s="232"/>
      <c r="I23" s="232"/>
      <c r="J23" s="194"/>
      <c r="K23" s="179" t="str">
        <f t="shared" si="6"/>
        <v/>
      </c>
      <c r="L23" s="1"/>
      <c r="M23" s="244">
        <f>'💰BUDGET PLAN💰'!E32</f>
        <v>0</v>
      </c>
      <c r="N23" s="244">
        <f>'💰BUDGET PLAN💰'!J32</f>
        <v>0</v>
      </c>
      <c r="O23" s="244" t="str">
        <f t="shared" si="7"/>
        <v>#REF!</v>
      </c>
    </row>
    <row r="24" ht="15.75" customHeight="1">
      <c r="A24" s="184"/>
      <c r="B24" s="245" t="str">
        <f>B102</f>
        <v>Divisi A</v>
      </c>
      <c r="C24" s="69"/>
      <c r="D24" s="70"/>
      <c r="E24" s="248">
        <f>E115</f>
        <v>0</v>
      </c>
      <c r="F24" s="100"/>
      <c r="G24" s="232"/>
      <c r="H24" s="232"/>
      <c r="I24" s="232"/>
      <c r="J24" s="194"/>
      <c r="K24" s="179" t="str">
        <f t="shared" si="6"/>
        <v/>
      </c>
      <c r="L24" s="1"/>
      <c r="M24" s="244">
        <f>'💰BUDGET PLAN💰'!E33</f>
        <v>0</v>
      </c>
      <c r="N24" s="244">
        <f>'💰BUDGET PLAN💰'!J33</f>
        <v>0</v>
      </c>
      <c r="O24" s="244" t="str">
        <f t="shared" si="7"/>
        <v>#REF!</v>
      </c>
    </row>
    <row r="25" ht="15.75" customHeight="1">
      <c r="A25" s="184"/>
      <c r="B25" s="245" t="str">
        <f>B117</f>
        <v>Divisi A</v>
      </c>
      <c r="C25" s="69"/>
      <c r="D25" s="70"/>
      <c r="E25" s="249">
        <f>E127</f>
        <v>0</v>
      </c>
      <c r="F25" s="100"/>
      <c r="G25" s="232"/>
      <c r="H25" s="232"/>
      <c r="I25" s="232"/>
      <c r="J25" s="194"/>
      <c r="K25" s="179" t="str">
        <f t="shared" si="6"/>
        <v/>
      </c>
      <c r="L25" s="1"/>
      <c r="M25" s="244">
        <f>'💰BUDGET PLAN💰'!E34</f>
        <v>0</v>
      </c>
      <c r="N25" s="244">
        <f>'💰BUDGET PLAN💰'!J34</f>
        <v>0</v>
      </c>
      <c r="O25" s="244" t="str">
        <f t="shared" si="7"/>
        <v>#REF!</v>
      </c>
    </row>
    <row r="26" ht="15.75" customHeight="1">
      <c r="A26" s="184"/>
      <c r="B26" s="250" t="str">
        <f>B129</f>
        <v>Divisi A</v>
      </c>
      <c r="C26" s="81"/>
      <c r="D26" s="82"/>
      <c r="E26" s="251">
        <f>E139</f>
        <v>0</v>
      </c>
      <c r="F26" s="100"/>
      <c r="G26" s="232"/>
      <c r="H26" s="232"/>
      <c r="I26" s="232"/>
      <c r="J26" s="194"/>
      <c r="K26" s="179" t="str">
        <f t="shared" si="6"/>
        <v/>
      </c>
      <c r="L26" s="1"/>
      <c r="M26" s="244">
        <f>'💰BUDGET PLAN💰'!E35</f>
        <v>0</v>
      </c>
      <c r="N26" s="244">
        <f>'💰BUDGET PLAN💰'!J35</f>
        <v>0</v>
      </c>
      <c r="O26" s="244" t="str">
        <f t="shared" si="7"/>
        <v>#REF!</v>
      </c>
    </row>
    <row r="27" ht="18.75" customHeight="1">
      <c r="A27" s="184"/>
      <c r="B27" s="252" t="s">
        <v>29</v>
      </c>
      <c r="C27" s="253"/>
      <c r="D27" s="254"/>
      <c r="E27" s="255">
        <f>SUM(E21:E26)</f>
        <v>1000000</v>
      </c>
      <c r="F27" s="100"/>
      <c r="G27" s="232"/>
      <c r="H27" s="232"/>
      <c r="I27" s="232"/>
      <c r="J27" s="194"/>
      <c r="K27" s="179" t="str">
        <f t="shared" si="6"/>
        <v/>
      </c>
      <c r="L27" s="1"/>
      <c r="M27" s="244" t="str">
        <f t="shared" ref="M27:O27" si="8">#REF!</f>
        <v>#REF!</v>
      </c>
      <c r="N27" s="244" t="str">
        <f t="shared" si="8"/>
        <v>#REF!</v>
      </c>
      <c r="O27" s="244" t="str">
        <f t="shared" si="8"/>
        <v>#REF!</v>
      </c>
    </row>
    <row r="28" ht="18.75" customHeight="1">
      <c r="A28" s="179"/>
      <c r="B28" s="61"/>
      <c r="C28" s="256"/>
      <c r="D28" s="61"/>
      <c r="E28" s="256"/>
      <c r="F28" s="1"/>
      <c r="G28" s="232"/>
      <c r="H28" s="232"/>
      <c r="I28" s="232"/>
      <c r="J28" s="179"/>
      <c r="K28" s="179"/>
      <c r="L28" s="1"/>
      <c r="M28" s="1"/>
      <c r="N28" s="1"/>
      <c r="O28" s="1"/>
    </row>
    <row r="29" ht="24.0" customHeight="1">
      <c r="A29" s="179"/>
      <c r="B29" s="257" t="s">
        <v>178</v>
      </c>
      <c r="C29" s="87"/>
      <c r="D29" s="88"/>
      <c r="E29" s="258">
        <f>E5-E27</f>
        <v>-1000000</v>
      </c>
      <c r="F29" s="179"/>
      <c r="G29" s="232"/>
      <c r="H29" s="232"/>
      <c r="I29" s="232"/>
      <c r="J29" s="179"/>
      <c r="K29" s="179" t="str">
        <f>IF(G29="","",IF(I29&gt;=1,$I$8,IF(H29&gt;=1,$H$8,$G$8)))</f>
        <v/>
      </c>
      <c r="L29" s="1"/>
      <c r="M29" s="244">
        <f>'💰BUDGET PLAN💰'!E37</f>
        <v>0</v>
      </c>
      <c r="N29" s="244">
        <f>'💰BUDGET PLAN💰'!J37</f>
        <v>0</v>
      </c>
      <c r="O29" s="244">
        <f>'💰BUDGET PLAN💰'!O37</f>
        <v>0</v>
      </c>
    </row>
    <row r="30" ht="15.75" customHeight="1">
      <c r="A30" s="179"/>
      <c r="B30" s="1"/>
      <c r="C30" s="244"/>
      <c r="D30" s="85"/>
      <c r="E30" s="1"/>
      <c r="F30" s="1"/>
      <c r="G30" s="1"/>
      <c r="H30" s="1"/>
      <c r="I30" s="1"/>
      <c r="J30" s="179"/>
      <c r="K30" s="179"/>
      <c r="L30" s="179"/>
      <c r="M30" s="1"/>
      <c r="N30" s="1"/>
      <c r="O30" s="1"/>
    </row>
    <row r="31" ht="27.0" customHeight="1">
      <c r="A31" s="179"/>
      <c r="B31" s="99" t="s">
        <v>31</v>
      </c>
      <c r="C31" s="87"/>
      <c r="D31" s="87"/>
      <c r="E31" s="88"/>
      <c r="F31" s="1"/>
      <c r="G31" s="1"/>
      <c r="H31" s="1"/>
      <c r="I31" s="1"/>
      <c r="J31" s="179"/>
      <c r="K31" s="179"/>
      <c r="L31" s="179"/>
      <c r="M31" s="1"/>
      <c r="N31" s="1"/>
      <c r="O31" s="1"/>
    </row>
    <row r="32" ht="23.25" customHeight="1">
      <c r="A32" s="179"/>
      <c r="B32" s="178" t="s">
        <v>179</v>
      </c>
      <c r="C32" s="259" t="s">
        <v>5</v>
      </c>
      <c r="D32" s="126" t="s">
        <v>6</v>
      </c>
      <c r="E32" s="125" t="s">
        <v>7</v>
      </c>
      <c r="F32" s="1"/>
      <c r="G32" s="260" t="s">
        <v>171</v>
      </c>
      <c r="H32" s="87"/>
      <c r="I32" s="88"/>
      <c r="J32" s="179"/>
      <c r="K32" s="179"/>
      <c r="L32" s="179"/>
      <c r="M32" s="1" t="s">
        <v>5</v>
      </c>
      <c r="N32" s="1" t="s">
        <v>175</v>
      </c>
      <c r="O32" s="1" t="s">
        <v>176</v>
      </c>
    </row>
    <row r="33" ht="15.75" customHeight="1">
      <c r="A33" s="184"/>
      <c r="B33" s="261" t="s">
        <v>180</v>
      </c>
      <c r="C33" s="262">
        <v>200000.0</v>
      </c>
      <c r="D33" s="263">
        <v>5.0</v>
      </c>
      <c r="E33" s="264">
        <f t="shared" ref="E33:E46" si="9">C33*D33</f>
        <v>1000000</v>
      </c>
      <c r="F33" s="1"/>
      <c r="G33" s="265" t="str">
        <f t="shared" ref="G33:G47" si="10">IF(M33=0,"",E33/M33)</f>
        <v/>
      </c>
      <c r="H33" s="266" t="str">
        <f t="shared" ref="H33:H47" si="11">IF(N33=0,"",E33/N33)</f>
        <v/>
      </c>
      <c r="I33" s="267" t="str">
        <f t="shared" ref="I33:I47" si="12">IF(O33=0,"",E33/O33)</f>
        <v/>
      </c>
      <c r="J33" s="179"/>
      <c r="K33" s="179" t="str">
        <f t="shared" ref="K33:K42" si="13">IF(G33="","",IF(I33&gt;=1,$I$8,IF(H33&gt;=1,$H$8,$G$8)))</f>
        <v/>
      </c>
      <c r="L33" s="179"/>
      <c r="M33" s="1">
        <f>SUMIF('💰BUDGET PLAN💰'!$B$41:$B$69,B33,'💰BUDGET PLAN💰'!$E$41:$E$69)</f>
        <v>0</v>
      </c>
      <c r="N33" s="1">
        <f>SUMIF('💰BUDGET PLAN💰'!$G$41:$G$69,B33,'💰BUDGET PLAN💰'!$J$41:$J$69)</f>
        <v>0</v>
      </c>
      <c r="O33" s="1">
        <f>SUMIF('💰BUDGET PLAN💰'!$L$41:$L$69,'💸BUDGET REALIZED💸'!B33,'💰BUDGET PLAN💰'!$O$41:$O$69)</f>
        <v>0</v>
      </c>
    </row>
    <row r="34" ht="15.75" customHeight="1">
      <c r="A34" s="184"/>
      <c r="B34" s="268"/>
      <c r="C34" s="262"/>
      <c r="D34" s="263"/>
      <c r="E34" s="264">
        <f t="shared" si="9"/>
        <v>0</v>
      </c>
      <c r="F34" s="1"/>
      <c r="G34" s="265" t="str">
        <f t="shared" si="10"/>
        <v/>
      </c>
      <c r="H34" s="266" t="str">
        <f t="shared" si="11"/>
        <v/>
      </c>
      <c r="I34" s="267" t="str">
        <f t="shared" si="12"/>
        <v/>
      </c>
      <c r="J34" s="179"/>
      <c r="K34" s="179" t="str">
        <f t="shared" si="13"/>
        <v/>
      </c>
      <c r="L34" s="179"/>
      <c r="M34" s="1">
        <f>SUMIF('💰BUDGET PLAN💰'!$B$41:$B$69,B34,'💰BUDGET PLAN💰'!$E$41:$E$69)</f>
        <v>0</v>
      </c>
      <c r="N34" s="1">
        <f>SUMIF('💰BUDGET PLAN💰'!$G$41:$G$69,B34,'💰BUDGET PLAN💰'!$J$41:$J$69)</f>
        <v>0</v>
      </c>
      <c r="O34" s="1">
        <f>SUMIF('💰BUDGET PLAN💰'!$L$41:$L$69,'💸BUDGET REALIZED💸'!B34,'💰BUDGET PLAN💰'!$O$41:$O$69)</f>
        <v>0</v>
      </c>
    </row>
    <row r="35" ht="15.75" customHeight="1">
      <c r="A35" s="179"/>
      <c r="B35" s="269"/>
      <c r="C35" s="262"/>
      <c r="D35" s="263"/>
      <c r="E35" s="264">
        <f t="shared" si="9"/>
        <v>0</v>
      </c>
      <c r="F35" s="1"/>
      <c r="G35" s="265" t="str">
        <f t="shared" si="10"/>
        <v/>
      </c>
      <c r="H35" s="266" t="str">
        <f t="shared" si="11"/>
        <v/>
      </c>
      <c r="I35" s="267" t="str">
        <f t="shared" si="12"/>
        <v/>
      </c>
      <c r="J35" s="179"/>
      <c r="K35" s="179" t="str">
        <f t="shared" si="13"/>
        <v/>
      </c>
      <c r="L35" s="179"/>
      <c r="M35" s="1">
        <f>SUMIF('💰BUDGET PLAN💰'!$B$41:$B$69,B35,'💰BUDGET PLAN💰'!$E$41:$E$69)</f>
        <v>0</v>
      </c>
      <c r="N35" s="1">
        <f>SUMIF('💰BUDGET PLAN💰'!$G$41:$G$69,B35,'💰BUDGET PLAN💰'!$J$41:$J$69)</f>
        <v>0</v>
      </c>
      <c r="O35" s="1">
        <f>SUMIF('💰BUDGET PLAN💰'!$L$41:$L$69,'💸BUDGET REALIZED💸'!B35,'💰BUDGET PLAN💰'!$O$41:$O$69)</f>
        <v>0</v>
      </c>
    </row>
    <row r="36" ht="15.75" customHeight="1">
      <c r="A36" s="179"/>
      <c r="B36" s="269"/>
      <c r="C36" s="262"/>
      <c r="D36" s="263"/>
      <c r="E36" s="264">
        <f t="shared" si="9"/>
        <v>0</v>
      </c>
      <c r="F36" s="1"/>
      <c r="G36" s="265" t="str">
        <f t="shared" si="10"/>
        <v/>
      </c>
      <c r="H36" s="266" t="str">
        <f t="shared" si="11"/>
        <v/>
      </c>
      <c r="I36" s="267" t="str">
        <f t="shared" si="12"/>
        <v/>
      </c>
      <c r="J36" s="179"/>
      <c r="K36" s="179" t="str">
        <f t="shared" si="13"/>
        <v/>
      </c>
      <c r="L36" s="179"/>
      <c r="M36" s="1">
        <f>SUMIF('💰BUDGET PLAN💰'!$B$41:$B$69,B36,'💰BUDGET PLAN💰'!$E$41:$E$69)</f>
        <v>0</v>
      </c>
      <c r="N36" s="1">
        <f>SUMIF('💰BUDGET PLAN💰'!$G$41:$G$69,B36,'💰BUDGET PLAN💰'!$J$41:$J$69)</f>
        <v>0</v>
      </c>
      <c r="O36" s="1">
        <f>SUMIF('💰BUDGET PLAN💰'!$L$41:$L$69,'💸BUDGET REALIZED💸'!B36,'💰BUDGET PLAN💰'!$O$41:$O$69)</f>
        <v>0</v>
      </c>
    </row>
    <row r="37" ht="15.75" customHeight="1">
      <c r="A37" s="179"/>
      <c r="B37" s="269"/>
      <c r="C37" s="262"/>
      <c r="D37" s="263"/>
      <c r="E37" s="264">
        <f t="shared" si="9"/>
        <v>0</v>
      </c>
      <c r="F37" s="1"/>
      <c r="G37" s="265" t="str">
        <f t="shared" si="10"/>
        <v/>
      </c>
      <c r="H37" s="266" t="str">
        <f t="shared" si="11"/>
        <v/>
      </c>
      <c r="I37" s="267" t="str">
        <f t="shared" si="12"/>
        <v/>
      </c>
      <c r="J37" s="179"/>
      <c r="K37" s="179" t="str">
        <f t="shared" si="13"/>
        <v/>
      </c>
      <c r="L37" s="179"/>
      <c r="M37" s="1">
        <f>SUMIF('💰BUDGET PLAN💰'!$B$41:$B$69,B37,'💰BUDGET PLAN💰'!$E$41:$E$69)</f>
        <v>0</v>
      </c>
      <c r="N37" s="1">
        <f>SUMIF('💰BUDGET PLAN💰'!$G$41:$G$69,B37,'💰BUDGET PLAN💰'!$J$41:$J$69)</f>
        <v>0</v>
      </c>
      <c r="O37" s="1">
        <f>SUMIF('💰BUDGET PLAN💰'!$L$41:$L$69,'💸BUDGET REALIZED💸'!B37,'💰BUDGET PLAN💰'!$O$41:$O$69)</f>
        <v>0</v>
      </c>
    </row>
    <row r="38" ht="15.75" customHeight="1">
      <c r="A38" s="179"/>
      <c r="B38" s="270"/>
      <c r="C38" s="262"/>
      <c r="D38" s="263"/>
      <c r="E38" s="264">
        <f t="shared" si="9"/>
        <v>0</v>
      </c>
      <c r="F38" s="1"/>
      <c r="G38" s="265" t="str">
        <f t="shared" si="10"/>
        <v/>
      </c>
      <c r="H38" s="266" t="str">
        <f t="shared" si="11"/>
        <v/>
      </c>
      <c r="I38" s="267" t="str">
        <f t="shared" si="12"/>
        <v/>
      </c>
      <c r="J38" s="179"/>
      <c r="K38" s="179" t="str">
        <f t="shared" si="13"/>
        <v/>
      </c>
      <c r="L38" s="179"/>
      <c r="M38" s="1">
        <f>SUMIF('💰BUDGET PLAN💰'!$B$41:$B$69,B38,'💰BUDGET PLAN💰'!$E$41:$E$69)</f>
        <v>0</v>
      </c>
      <c r="N38" s="1">
        <f>SUMIF('💰BUDGET PLAN💰'!$G$41:$G$69,B38,'💰BUDGET PLAN💰'!$J$41:$J$69)</f>
        <v>0</v>
      </c>
      <c r="O38" s="1">
        <f>SUMIF('💰BUDGET PLAN💰'!$L$41:$L$69,'💸BUDGET REALIZED💸'!B38,'💰BUDGET PLAN💰'!$O$41:$O$69)</f>
        <v>0</v>
      </c>
    </row>
    <row r="39" ht="15.75" customHeight="1">
      <c r="A39" s="179"/>
      <c r="B39" s="271"/>
      <c r="C39" s="262"/>
      <c r="D39" s="263"/>
      <c r="E39" s="264">
        <f t="shared" si="9"/>
        <v>0</v>
      </c>
      <c r="F39" s="1"/>
      <c r="G39" s="265" t="str">
        <f t="shared" si="10"/>
        <v/>
      </c>
      <c r="H39" s="266" t="str">
        <f t="shared" si="11"/>
        <v/>
      </c>
      <c r="I39" s="267" t="str">
        <f t="shared" si="12"/>
        <v/>
      </c>
      <c r="J39" s="179"/>
      <c r="K39" s="179" t="str">
        <f t="shared" si="13"/>
        <v/>
      </c>
      <c r="L39" s="179"/>
      <c r="M39" s="1">
        <f>SUMIF('💰BUDGET PLAN💰'!$B$41:$B$69,B39,'💰BUDGET PLAN💰'!$E$41:$E$69)</f>
        <v>0</v>
      </c>
      <c r="N39" s="1">
        <f>SUMIF('💰BUDGET PLAN💰'!$G$41:$G$69,B39,'💰BUDGET PLAN💰'!$J$41:$J$69)</f>
        <v>0</v>
      </c>
      <c r="O39" s="1">
        <f>SUMIF('💰BUDGET PLAN💰'!$L$41:$L$69,'💸BUDGET REALIZED💸'!B39,'💰BUDGET PLAN💰'!$O$41:$O$69)</f>
        <v>0</v>
      </c>
    </row>
    <row r="40" ht="15.75" customHeight="1">
      <c r="A40" s="179"/>
      <c r="B40" s="271"/>
      <c r="C40" s="262"/>
      <c r="D40" s="263"/>
      <c r="E40" s="264">
        <f t="shared" si="9"/>
        <v>0</v>
      </c>
      <c r="F40" s="1"/>
      <c r="G40" s="265" t="str">
        <f t="shared" si="10"/>
        <v/>
      </c>
      <c r="H40" s="266" t="str">
        <f t="shared" si="11"/>
        <v/>
      </c>
      <c r="I40" s="267" t="str">
        <f t="shared" si="12"/>
        <v/>
      </c>
      <c r="J40" s="179"/>
      <c r="K40" s="179" t="str">
        <f t="shared" si="13"/>
        <v/>
      </c>
      <c r="L40" s="179"/>
      <c r="M40" s="1">
        <f>SUMIF('💰BUDGET PLAN💰'!$B$41:$B$69,B40,'💰BUDGET PLAN💰'!$E$41:$E$69)</f>
        <v>0</v>
      </c>
      <c r="N40" s="1">
        <f>SUMIF('💰BUDGET PLAN💰'!$G$41:$G$69,B40,'💰BUDGET PLAN💰'!$J$41:$J$69)</f>
        <v>0</v>
      </c>
      <c r="O40" s="1">
        <f>SUMIF('💰BUDGET PLAN💰'!$L$41:$L$69,'💸BUDGET REALIZED💸'!B40,'💰BUDGET PLAN💰'!$O$41:$O$69)</f>
        <v>0</v>
      </c>
    </row>
    <row r="41" ht="15.75" customHeight="1">
      <c r="A41" s="179"/>
      <c r="B41" s="271"/>
      <c r="C41" s="262"/>
      <c r="D41" s="263"/>
      <c r="E41" s="264">
        <f t="shared" si="9"/>
        <v>0</v>
      </c>
      <c r="F41" s="1"/>
      <c r="G41" s="265" t="str">
        <f t="shared" si="10"/>
        <v/>
      </c>
      <c r="H41" s="266" t="str">
        <f t="shared" si="11"/>
        <v/>
      </c>
      <c r="I41" s="267" t="str">
        <f t="shared" si="12"/>
        <v/>
      </c>
      <c r="J41" s="179"/>
      <c r="K41" s="179" t="str">
        <f t="shared" si="13"/>
        <v/>
      </c>
      <c r="L41" s="179"/>
      <c r="M41" s="1">
        <f>SUMIF('💰BUDGET PLAN💰'!$B$41:$B$69,B41,'💰BUDGET PLAN💰'!$E$41:$E$69)</f>
        <v>0</v>
      </c>
      <c r="N41" s="1">
        <f>SUMIF('💰BUDGET PLAN💰'!$G$41:$G$69,B41,'💰BUDGET PLAN💰'!$J$41:$J$69)</f>
        <v>0</v>
      </c>
      <c r="O41" s="1">
        <f>SUMIF('💰BUDGET PLAN💰'!$L$41:$L$69,'💸BUDGET REALIZED💸'!B41,'💰BUDGET PLAN💰'!$O$41:$O$69)</f>
        <v>0</v>
      </c>
    </row>
    <row r="42" ht="15.75" customHeight="1">
      <c r="A42" s="179"/>
      <c r="B42" s="271"/>
      <c r="C42" s="262"/>
      <c r="D42" s="263"/>
      <c r="E42" s="264">
        <f t="shared" si="9"/>
        <v>0</v>
      </c>
      <c r="F42" s="1"/>
      <c r="G42" s="265" t="str">
        <f t="shared" si="10"/>
        <v/>
      </c>
      <c r="H42" s="266" t="str">
        <f t="shared" si="11"/>
        <v/>
      </c>
      <c r="I42" s="267" t="str">
        <f t="shared" si="12"/>
        <v/>
      </c>
      <c r="J42" s="179"/>
      <c r="K42" s="179" t="str">
        <f t="shared" si="13"/>
        <v/>
      </c>
      <c r="L42" s="179"/>
      <c r="M42" s="1">
        <f>SUMIF('💰BUDGET PLAN💰'!$B$41:$B$69,B42,'💰BUDGET PLAN💰'!$E$41:$E$69)</f>
        <v>0</v>
      </c>
      <c r="N42" s="1">
        <f>SUMIF('💰BUDGET PLAN💰'!$G$41:$G$69,B42,'💰BUDGET PLAN💰'!$J$41:$J$69)</f>
        <v>0</v>
      </c>
      <c r="O42" s="1">
        <f>SUMIF('💰BUDGET PLAN💰'!$L$41:$L$69,'💸BUDGET REALIZED💸'!B42,'💰BUDGET PLAN💰'!$O$41:$O$69)</f>
        <v>0</v>
      </c>
    </row>
    <row r="43" ht="15.75" customHeight="1">
      <c r="A43" s="179"/>
      <c r="B43" s="271"/>
      <c r="C43" s="262"/>
      <c r="D43" s="263"/>
      <c r="E43" s="264">
        <f t="shared" si="9"/>
        <v>0</v>
      </c>
      <c r="F43" s="1"/>
      <c r="G43" s="265" t="str">
        <f t="shared" si="10"/>
        <v/>
      </c>
      <c r="H43" s="266" t="str">
        <f t="shared" si="11"/>
        <v/>
      </c>
      <c r="I43" s="267" t="str">
        <f t="shared" si="12"/>
        <v/>
      </c>
      <c r="J43" s="179"/>
      <c r="K43" s="179"/>
      <c r="L43" s="179"/>
      <c r="M43" s="1"/>
      <c r="N43" s="1"/>
      <c r="O43" s="1"/>
    </row>
    <row r="44" ht="15.75" customHeight="1">
      <c r="A44" s="179"/>
      <c r="B44" s="271"/>
      <c r="C44" s="262"/>
      <c r="D44" s="263"/>
      <c r="E44" s="264">
        <f t="shared" si="9"/>
        <v>0</v>
      </c>
      <c r="F44" s="1"/>
      <c r="G44" s="265" t="str">
        <f t="shared" si="10"/>
        <v/>
      </c>
      <c r="H44" s="266" t="str">
        <f t="shared" si="11"/>
        <v/>
      </c>
      <c r="I44" s="267" t="str">
        <f t="shared" si="12"/>
        <v/>
      </c>
      <c r="J44" s="179"/>
      <c r="K44" s="179"/>
      <c r="L44" s="179"/>
      <c r="M44" s="1"/>
      <c r="N44" s="1"/>
      <c r="O44" s="1"/>
    </row>
    <row r="45" ht="15.75" customHeight="1">
      <c r="A45" s="179"/>
      <c r="B45" s="271"/>
      <c r="C45" s="262"/>
      <c r="D45" s="263"/>
      <c r="E45" s="264">
        <f t="shared" si="9"/>
        <v>0</v>
      </c>
      <c r="F45" s="1"/>
      <c r="G45" s="265" t="str">
        <f t="shared" si="10"/>
        <v/>
      </c>
      <c r="H45" s="266" t="str">
        <f t="shared" si="11"/>
        <v/>
      </c>
      <c r="I45" s="267" t="str">
        <f t="shared" si="12"/>
        <v/>
      </c>
      <c r="J45" s="179"/>
      <c r="K45" s="179"/>
      <c r="L45" s="179"/>
      <c r="M45" s="1"/>
      <c r="N45" s="1"/>
      <c r="O45" s="1"/>
    </row>
    <row r="46" ht="15.75" customHeight="1">
      <c r="A46" s="179"/>
      <c r="B46" s="272"/>
      <c r="C46" s="262"/>
      <c r="D46" s="263"/>
      <c r="E46" s="264">
        <f t="shared" si="9"/>
        <v>0</v>
      </c>
      <c r="F46" s="1"/>
      <c r="G46" s="265" t="str">
        <f t="shared" si="10"/>
        <v/>
      </c>
      <c r="H46" s="266" t="str">
        <f t="shared" si="11"/>
        <v/>
      </c>
      <c r="I46" s="267" t="str">
        <f t="shared" si="12"/>
        <v/>
      </c>
      <c r="J46" s="179"/>
      <c r="K46" s="179" t="str">
        <f t="shared" ref="K46:K47" si="14">IF(G46="","",IF(I46&gt;=1,$I$8,IF(H46&gt;=1,$H$8,$G$8)))</f>
        <v/>
      </c>
      <c r="L46" s="179"/>
      <c r="M46" s="1">
        <f>SUMIF('💰BUDGET PLAN💰'!$B$41:$B$69,B46,'💰BUDGET PLAN💰'!$E$41:$E$69)</f>
        <v>0</v>
      </c>
      <c r="N46" s="1">
        <f>SUMIF('💰BUDGET PLAN💰'!$G$41:$G$69,B46,'💰BUDGET PLAN💰'!$J$41:$J$69)</f>
        <v>0</v>
      </c>
      <c r="O46" s="1">
        <f>SUMIF('💰BUDGET PLAN💰'!$L$41:$L$69,'💸BUDGET REALIZED💸'!B46,'💰BUDGET PLAN💰'!$O$41:$O$69)</f>
        <v>0</v>
      </c>
    </row>
    <row r="47" ht="18.75" customHeight="1">
      <c r="A47" s="179"/>
      <c r="B47" s="260" t="s">
        <v>181</v>
      </c>
      <c r="C47" s="87"/>
      <c r="D47" s="88"/>
      <c r="E47" s="273">
        <f>SUM(E33:E46)</f>
        <v>1000000</v>
      </c>
      <c r="F47" s="1"/>
      <c r="G47" s="274" t="str">
        <f t="shared" si="10"/>
        <v/>
      </c>
      <c r="H47" s="275" t="str">
        <f t="shared" si="11"/>
        <v/>
      </c>
      <c r="I47" s="276" t="str">
        <f t="shared" si="12"/>
        <v/>
      </c>
      <c r="J47" s="179"/>
      <c r="K47" s="277" t="str">
        <f t="shared" si="14"/>
        <v/>
      </c>
      <c r="L47" s="179"/>
      <c r="M47" s="244">
        <f>'💰BUDGET PLAN💰'!E77</f>
        <v>0</v>
      </c>
      <c r="N47" s="244">
        <f>'💰BUDGET PLAN💰'!J77</f>
        <v>0</v>
      </c>
      <c r="O47" s="244">
        <f>'💰BUDGET PLAN💰'!O77</f>
        <v>0</v>
      </c>
    </row>
    <row r="48" ht="15.75" customHeight="1">
      <c r="A48" s="179"/>
      <c r="B48" s="1"/>
      <c r="C48" s="244"/>
      <c r="D48" s="85"/>
      <c r="E48" s="1"/>
      <c r="F48" s="1"/>
      <c r="G48" s="1"/>
      <c r="H48" s="1"/>
      <c r="I48" s="1"/>
      <c r="J48" s="179"/>
      <c r="K48" s="179"/>
      <c r="L48" s="179"/>
      <c r="M48" s="1"/>
      <c r="N48" s="1"/>
      <c r="O48" s="1"/>
    </row>
    <row r="49" ht="23.25" customHeight="1">
      <c r="A49" s="179"/>
      <c r="B49" s="178" t="s">
        <v>182</v>
      </c>
      <c r="C49" s="259" t="s">
        <v>5</v>
      </c>
      <c r="D49" s="126" t="s">
        <v>6</v>
      </c>
      <c r="E49" s="125" t="s">
        <v>7</v>
      </c>
      <c r="F49" s="179"/>
      <c r="G49" s="260" t="s">
        <v>171</v>
      </c>
      <c r="H49" s="87"/>
      <c r="I49" s="88"/>
      <c r="J49" s="179"/>
      <c r="K49" s="179"/>
      <c r="L49" s="179"/>
      <c r="M49" s="1"/>
      <c r="N49" s="1"/>
      <c r="O49" s="1"/>
    </row>
    <row r="50" ht="13.5" customHeight="1">
      <c r="A50" s="184"/>
      <c r="B50" s="127"/>
      <c r="C50" s="262"/>
      <c r="D50" s="263"/>
      <c r="E50" s="264">
        <f>C50*D50</f>
        <v>0</v>
      </c>
      <c r="F50" s="1"/>
      <c r="G50" s="265" t="str">
        <f t="shared" ref="G50:G78" si="15">IF(M50=0,"",E50/M50)</f>
        <v/>
      </c>
      <c r="H50" s="266" t="str">
        <f t="shared" ref="H50:H78" si="16">IF(N50=0,"",E50/N50)</f>
        <v/>
      </c>
      <c r="I50" s="267" t="str">
        <f t="shared" ref="I50:I78" si="17">IF(O50=0,"",E50/O50)</f>
        <v/>
      </c>
      <c r="J50" s="179"/>
      <c r="K50" s="179" t="str">
        <f t="shared" ref="K50:K53" si="18">IF(G50="","",IF(I50&gt;=1,$I$8,IF(H50&gt;=1,$H$8,$G$8)))</f>
        <v/>
      </c>
      <c r="L50" s="179"/>
      <c r="M50" s="1">
        <f>SUMIF('💰BUDGET PLAN💰'!$B$80:$B$107,B50,'💰BUDGET PLAN💰'!$E$80:$E$107)</f>
        <v>0</v>
      </c>
      <c r="N50" s="278">
        <f>SUMIF('💰BUDGET PLAN💰'!$G$80:$G$107,'💸BUDGET REALIZED💸'!B50,'💰BUDGET PLAN💰'!$J$80:$J$107)</f>
        <v>0</v>
      </c>
      <c r="O50" s="1">
        <f>SUMIF('💰BUDGET PLAN💰'!$L$80:$L$107,'💸BUDGET REALIZED💸'!B50,'💰BUDGET PLAN💰'!$O$80:$O$107)</f>
        <v>0</v>
      </c>
    </row>
    <row r="51" ht="13.5" customHeight="1">
      <c r="A51" s="184"/>
      <c r="B51" s="127"/>
      <c r="C51" s="262"/>
      <c r="D51" s="263"/>
      <c r="E51" s="264">
        <f>C50*D51</f>
        <v>0</v>
      </c>
      <c r="F51" s="1"/>
      <c r="G51" s="279" t="str">
        <f t="shared" si="15"/>
        <v/>
      </c>
      <c r="H51" s="280" t="str">
        <f t="shared" si="16"/>
        <v/>
      </c>
      <c r="I51" s="281" t="str">
        <f t="shared" si="17"/>
        <v/>
      </c>
      <c r="J51" s="179"/>
      <c r="K51" s="179" t="str">
        <f t="shared" si="18"/>
        <v/>
      </c>
      <c r="L51" s="179"/>
      <c r="M51" s="1">
        <f>SUMIF('💰BUDGET PLAN💰'!$B$80:$B$107,B51,'💰BUDGET PLAN💰'!$E$80:$E$107)</f>
        <v>0</v>
      </c>
      <c r="N51" s="278">
        <f>SUMIF('💰BUDGET PLAN💰'!$G$80:$G$107,'💸BUDGET REALIZED💸'!B51,'💰BUDGET PLAN💰'!$J$80:$J$107)</f>
        <v>0</v>
      </c>
      <c r="O51" s="1">
        <f>SUMIF('💰BUDGET PLAN💰'!$L$80:$L$107,'💸BUDGET REALIZED💸'!B51,'💰BUDGET PLAN💰'!$O$80:$O$107)</f>
        <v>0</v>
      </c>
    </row>
    <row r="52" ht="13.5" customHeight="1">
      <c r="A52" s="184"/>
      <c r="B52" s="127"/>
      <c r="C52" s="262"/>
      <c r="D52" s="263"/>
      <c r="E52" s="264">
        <f t="shared" ref="E52:E77" si="19">C52*D52</f>
        <v>0</v>
      </c>
      <c r="F52" s="1"/>
      <c r="G52" s="279" t="str">
        <f t="shared" si="15"/>
        <v/>
      </c>
      <c r="H52" s="280" t="str">
        <f t="shared" si="16"/>
        <v/>
      </c>
      <c r="I52" s="281" t="str">
        <f t="shared" si="17"/>
        <v/>
      </c>
      <c r="J52" s="179"/>
      <c r="K52" s="179" t="str">
        <f t="shared" si="18"/>
        <v/>
      </c>
      <c r="L52" s="179"/>
      <c r="M52" s="1">
        <f>SUMIF('💰BUDGET PLAN💰'!$B$80:$B$107,B52,'💰BUDGET PLAN💰'!$E$80:$E$107)</f>
        <v>0</v>
      </c>
      <c r="N52" s="278">
        <f>SUMIF('💰BUDGET PLAN💰'!$G$80:$G$107,'💸BUDGET REALIZED💸'!B52,'💰BUDGET PLAN💰'!$J$80:$J$107)</f>
        <v>0</v>
      </c>
      <c r="O52" s="1">
        <f>SUMIF('💰BUDGET PLAN💰'!$L$80:$L$107,'💸BUDGET REALIZED💸'!B52,'💰BUDGET PLAN💰'!$O$80:$O$107)</f>
        <v>0</v>
      </c>
    </row>
    <row r="53" ht="13.5" customHeight="1">
      <c r="A53" s="184"/>
      <c r="B53" s="127"/>
      <c r="C53" s="262"/>
      <c r="D53" s="263"/>
      <c r="E53" s="264">
        <f t="shared" si="19"/>
        <v>0</v>
      </c>
      <c r="F53" s="1"/>
      <c r="G53" s="279" t="str">
        <f t="shared" si="15"/>
        <v/>
      </c>
      <c r="H53" s="280" t="str">
        <f t="shared" si="16"/>
        <v/>
      </c>
      <c r="I53" s="281" t="str">
        <f t="shared" si="17"/>
        <v/>
      </c>
      <c r="J53" s="179"/>
      <c r="K53" s="179" t="str">
        <f t="shared" si="18"/>
        <v/>
      </c>
      <c r="L53" s="179"/>
      <c r="M53" s="1">
        <f>SUMIF('💰BUDGET PLAN💰'!$B$80:$B$107,B53,'💰BUDGET PLAN💰'!$E$80:$E$107)</f>
        <v>0</v>
      </c>
      <c r="N53" s="278">
        <f>SUMIF('💰BUDGET PLAN💰'!$G$80:$G$107,'💸BUDGET REALIZED💸'!B53,'💰BUDGET PLAN💰'!$J$80:$J$107)</f>
        <v>0</v>
      </c>
      <c r="O53" s="1">
        <f>SUMIF('💰BUDGET PLAN💰'!$L$80:$L$107,'💸BUDGET REALIZED💸'!B53,'💰BUDGET PLAN💰'!$O$80:$O$107)</f>
        <v>0</v>
      </c>
    </row>
    <row r="54" ht="13.5" customHeight="1">
      <c r="A54" s="184"/>
      <c r="B54" s="127"/>
      <c r="C54" s="262"/>
      <c r="D54" s="263"/>
      <c r="E54" s="264">
        <f t="shared" si="19"/>
        <v>0</v>
      </c>
      <c r="F54" s="1"/>
      <c r="G54" s="279" t="str">
        <f t="shared" si="15"/>
        <v/>
      </c>
      <c r="H54" s="280" t="str">
        <f t="shared" si="16"/>
        <v/>
      </c>
      <c r="I54" s="281" t="str">
        <f t="shared" si="17"/>
        <v/>
      </c>
      <c r="J54" s="179"/>
      <c r="K54" s="179"/>
      <c r="L54" s="179"/>
      <c r="M54" s="1">
        <f>SUMIF('💰BUDGET PLAN💰'!$B$80:$B$107,B54,'💰BUDGET PLAN💰'!$E$80:$E$107)</f>
        <v>0</v>
      </c>
      <c r="N54" s="278">
        <f>SUMIF('💰BUDGET PLAN💰'!$G$80:$G$107,'💸BUDGET REALIZED💸'!B54,'💰BUDGET PLAN💰'!$J$80:$J$107)</f>
        <v>0</v>
      </c>
      <c r="O54" s="1">
        <f>SUMIF('💰BUDGET PLAN💰'!$L$80:$L$107,'💸BUDGET REALIZED💸'!B54,'💰BUDGET PLAN💰'!$O$80:$O$107)</f>
        <v>0</v>
      </c>
    </row>
    <row r="55" ht="13.5" customHeight="1">
      <c r="A55" s="184"/>
      <c r="B55" s="127"/>
      <c r="C55" s="262"/>
      <c r="D55" s="263"/>
      <c r="E55" s="264">
        <f t="shared" si="19"/>
        <v>0</v>
      </c>
      <c r="F55" s="1"/>
      <c r="G55" s="279" t="str">
        <f t="shared" si="15"/>
        <v/>
      </c>
      <c r="H55" s="280" t="str">
        <f t="shared" si="16"/>
        <v/>
      </c>
      <c r="I55" s="281" t="str">
        <f t="shared" si="17"/>
        <v/>
      </c>
      <c r="J55" s="179"/>
      <c r="K55" s="179"/>
      <c r="L55" s="179"/>
      <c r="M55" s="1">
        <f>SUMIF('💰BUDGET PLAN💰'!$B$80:$B$107,B55,'💰BUDGET PLAN💰'!$E$80:$E$107)</f>
        <v>0</v>
      </c>
      <c r="N55" s="278">
        <f>SUMIF('💰BUDGET PLAN💰'!$G$80:$G$107,'💸BUDGET REALIZED💸'!B55,'💰BUDGET PLAN💰'!$J$80:$J$107)</f>
        <v>0</v>
      </c>
      <c r="O55" s="1">
        <f>SUMIF('💰BUDGET PLAN💰'!$L$80:$L$107,'💸BUDGET REALIZED💸'!B55,'💰BUDGET PLAN💰'!$O$80:$O$107)</f>
        <v>0</v>
      </c>
    </row>
    <row r="56" ht="13.5" customHeight="1">
      <c r="A56" s="184"/>
      <c r="B56" s="127"/>
      <c r="C56" s="262"/>
      <c r="D56" s="263"/>
      <c r="E56" s="264">
        <f t="shared" si="19"/>
        <v>0</v>
      </c>
      <c r="F56" s="1"/>
      <c r="G56" s="279" t="str">
        <f t="shared" si="15"/>
        <v/>
      </c>
      <c r="H56" s="280" t="str">
        <f t="shared" si="16"/>
        <v/>
      </c>
      <c r="I56" s="281" t="str">
        <f t="shared" si="17"/>
        <v/>
      </c>
      <c r="J56" s="179"/>
      <c r="K56" s="179"/>
      <c r="L56" s="179"/>
      <c r="M56" s="1">
        <f>SUMIF('💰BUDGET PLAN💰'!$B$80:$B$107,B56,'💰BUDGET PLAN💰'!$E$80:$E$107)</f>
        <v>0</v>
      </c>
      <c r="N56" s="278">
        <f>SUMIF('💰BUDGET PLAN💰'!$G$80:$G$107,'💸BUDGET REALIZED💸'!B56,'💰BUDGET PLAN💰'!$J$80:$J$107)</f>
        <v>0</v>
      </c>
      <c r="O56" s="1">
        <f>SUMIF('💰BUDGET PLAN💰'!$L$80:$L$107,'💸BUDGET REALIZED💸'!B56,'💰BUDGET PLAN💰'!$O$80:$O$107)</f>
        <v>0</v>
      </c>
    </row>
    <row r="57" ht="13.5" customHeight="1">
      <c r="A57" s="184"/>
      <c r="B57" s="127"/>
      <c r="C57" s="262"/>
      <c r="D57" s="263"/>
      <c r="E57" s="264">
        <f t="shared" si="19"/>
        <v>0</v>
      </c>
      <c r="F57" s="1"/>
      <c r="G57" s="279" t="str">
        <f t="shared" si="15"/>
        <v/>
      </c>
      <c r="H57" s="280" t="str">
        <f t="shared" si="16"/>
        <v/>
      </c>
      <c r="I57" s="281" t="str">
        <f t="shared" si="17"/>
        <v/>
      </c>
      <c r="J57" s="179"/>
      <c r="K57" s="179"/>
      <c r="L57" s="179"/>
      <c r="M57" s="1">
        <f>SUMIF('💰BUDGET PLAN💰'!$B$80:$B$107,B57,'💰BUDGET PLAN💰'!$E$80:$E$107)</f>
        <v>0</v>
      </c>
      <c r="N57" s="278">
        <f>SUMIF('💰BUDGET PLAN💰'!$G$80:$G$107,'💸BUDGET REALIZED💸'!B57,'💰BUDGET PLAN💰'!$J$80:$J$107)</f>
        <v>0</v>
      </c>
      <c r="O57" s="1">
        <f>SUMIF('💰BUDGET PLAN💰'!$L$80:$L$107,'💸BUDGET REALIZED💸'!B57,'💰BUDGET PLAN💰'!$O$80:$O$107)</f>
        <v>0</v>
      </c>
    </row>
    <row r="58" ht="13.5" customHeight="1">
      <c r="A58" s="184"/>
      <c r="B58" s="127"/>
      <c r="C58" s="262"/>
      <c r="D58" s="263"/>
      <c r="E58" s="264">
        <f t="shared" si="19"/>
        <v>0</v>
      </c>
      <c r="F58" s="1"/>
      <c r="G58" s="279" t="str">
        <f t="shared" si="15"/>
        <v/>
      </c>
      <c r="H58" s="280" t="str">
        <f t="shared" si="16"/>
        <v/>
      </c>
      <c r="I58" s="281" t="str">
        <f t="shared" si="17"/>
        <v/>
      </c>
      <c r="J58" s="179"/>
      <c r="K58" s="179"/>
      <c r="L58" s="179"/>
      <c r="M58" s="1">
        <f>SUMIF('💰BUDGET PLAN💰'!$B$80:$B$107,B58,'💰BUDGET PLAN💰'!$E$80:$E$107)</f>
        <v>0</v>
      </c>
      <c r="N58" s="278">
        <f>SUMIF('💰BUDGET PLAN💰'!$G$80:$G$107,'💸BUDGET REALIZED💸'!B58,'💰BUDGET PLAN💰'!$J$80:$J$107)</f>
        <v>0</v>
      </c>
      <c r="O58" s="1">
        <f>SUMIF('💰BUDGET PLAN💰'!$L$80:$L$107,'💸BUDGET REALIZED💸'!B58,'💰BUDGET PLAN💰'!$O$80:$O$107)</f>
        <v>0</v>
      </c>
    </row>
    <row r="59" ht="13.5" customHeight="1">
      <c r="A59" s="184"/>
      <c r="B59" s="127"/>
      <c r="C59" s="262"/>
      <c r="D59" s="263"/>
      <c r="E59" s="264">
        <f t="shared" si="19"/>
        <v>0</v>
      </c>
      <c r="F59" s="1"/>
      <c r="G59" s="279" t="str">
        <f t="shared" si="15"/>
        <v/>
      </c>
      <c r="H59" s="280" t="str">
        <f t="shared" si="16"/>
        <v/>
      </c>
      <c r="I59" s="281" t="str">
        <f t="shared" si="17"/>
        <v/>
      </c>
      <c r="J59" s="179"/>
      <c r="K59" s="179"/>
      <c r="L59" s="179"/>
      <c r="M59" s="1">
        <f>SUMIF('💰BUDGET PLAN💰'!$B$80:$B$107,B59,'💰BUDGET PLAN💰'!$E$80:$E$107)</f>
        <v>0</v>
      </c>
      <c r="N59" s="278">
        <f>SUMIF('💰BUDGET PLAN💰'!$G$80:$G$107,'💸BUDGET REALIZED💸'!B59,'💰BUDGET PLAN💰'!$J$80:$J$107)</f>
        <v>0</v>
      </c>
      <c r="O59" s="1">
        <f>SUMIF('💰BUDGET PLAN💰'!$L$80:$L$107,'💸BUDGET REALIZED💸'!B59,'💰BUDGET PLAN💰'!$O$80:$O$107)</f>
        <v>0</v>
      </c>
    </row>
    <row r="60" ht="13.5" customHeight="1">
      <c r="A60" s="184"/>
      <c r="B60" s="127"/>
      <c r="C60" s="262"/>
      <c r="D60" s="263"/>
      <c r="E60" s="264">
        <f t="shared" si="19"/>
        <v>0</v>
      </c>
      <c r="F60" s="1"/>
      <c r="G60" s="279" t="str">
        <f t="shared" si="15"/>
        <v/>
      </c>
      <c r="H60" s="280" t="str">
        <f t="shared" si="16"/>
        <v/>
      </c>
      <c r="I60" s="281" t="str">
        <f t="shared" si="17"/>
        <v/>
      </c>
      <c r="J60" s="179"/>
      <c r="K60" s="179"/>
      <c r="L60" s="179"/>
      <c r="M60" s="1">
        <f>SUMIF('💰BUDGET PLAN💰'!$B$80:$B$107,B60,'💰BUDGET PLAN💰'!$E$80:$E$107)</f>
        <v>0</v>
      </c>
      <c r="N60" s="278">
        <f>SUMIF('💰BUDGET PLAN💰'!$G$80:$G$107,'💸BUDGET REALIZED💸'!B60,'💰BUDGET PLAN💰'!$J$80:$J$107)</f>
        <v>0</v>
      </c>
      <c r="O60" s="1">
        <f>SUMIF('💰BUDGET PLAN💰'!$L$80:$L$107,'💸BUDGET REALIZED💸'!B60,'💰BUDGET PLAN💰'!$O$80:$O$107)</f>
        <v>0</v>
      </c>
    </row>
    <row r="61" ht="13.5" customHeight="1">
      <c r="A61" s="184"/>
      <c r="B61" s="127"/>
      <c r="C61" s="262"/>
      <c r="D61" s="263"/>
      <c r="E61" s="264">
        <f t="shared" si="19"/>
        <v>0</v>
      </c>
      <c r="F61" s="1"/>
      <c r="G61" s="279" t="str">
        <f t="shared" si="15"/>
        <v/>
      </c>
      <c r="H61" s="280" t="str">
        <f t="shared" si="16"/>
        <v/>
      </c>
      <c r="I61" s="281" t="str">
        <f t="shared" si="17"/>
        <v/>
      </c>
      <c r="J61" s="179"/>
      <c r="K61" s="179" t="str">
        <f t="shared" ref="K61:K66" si="20">IF(G61="","",IF(I61&gt;=1,$I$8,IF(H61&gt;=1,$H$8,$G$8)))</f>
        <v/>
      </c>
      <c r="L61" s="179"/>
      <c r="M61" s="1">
        <f>SUMIF('💰BUDGET PLAN💰'!$B$80:$B$107,B61,'💰BUDGET PLAN💰'!$E$80:$E$107)</f>
        <v>0</v>
      </c>
      <c r="N61" s="278">
        <f>SUMIF('💰BUDGET PLAN💰'!$G$80:$G$107,'💸BUDGET REALIZED💸'!B61,'💰BUDGET PLAN💰'!$J$80:$J$107)</f>
        <v>0</v>
      </c>
      <c r="O61" s="1">
        <f>SUMIF('💰BUDGET PLAN💰'!$L$80:$L$107,'💸BUDGET REALIZED💸'!B61,'💰BUDGET PLAN💰'!$O$80:$O$107)</f>
        <v>0</v>
      </c>
    </row>
    <row r="62" ht="13.5" customHeight="1">
      <c r="A62" s="179"/>
      <c r="B62" s="127"/>
      <c r="C62" s="262"/>
      <c r="D62" s="263"/>
      <c r="E62" s="264">
        <f t="shared" si="19"/>
        <v>0</v>
      </c>
      <c r="F62" s="1"/>
      <c r="G62" s="279" t="str">
        <f t="shared" si="15"/>
        <v/>
      </c>
      <c r="H62" s="280" t="str">
        <f t="shared" si="16"/>
        <v/>
      </c>
      <c r="I62" s="281" t="str">
        <f t="shared" si="17"/>
        <v/>
      </c>
      <c r="J62" s="179"/>
      <c r="K62" s="179" t="str">
        <f t="shared" si="20"/>
        <v/>
      </c>
      <c r="L62" s="179"/>
      <c r="M62" s="1">
        <f>SUMIF('💰BUDGET PLAN💰'!$B$80:$B$107,B62,'💰BUDGET PLAN💰'!$E$80:$E$107)</f>
        <v>0</v>
      </c>
      <c r="N62" s="278">
        <f>SUMIF('💰BUDGET PLAN💰'!$G$80:$G$107,'💸BUDGET REALIZED💸'!B62,'💰BUDGET PLAN💰'!$J$80:$J$107)</f>
        <v>0</v>
      </c>
      <c r="O62" s="1">
        <f>SUMIF('💰BUDGET PLAN💰'!$L$80:$L$107,'💸BUDGET REALIZED💸'!B62,'💰BUDGET PLAN💰'!$O$80:$O$107)</f>
        <v>0</v>
      </c>
    </row>
    <row r="63" ht="13.5" customHeight="1">
      <c r="A63" s="179"/>
      <c r="B63" s="127"/>
      <c r="C63" s="262"/>
      <c r="D63" s="263"/>
      <c r="E63" s="264">
        <f t="shared" si="19"/>
        <v>0</v>
      </c>
      <c r="F63" s="1"/>
      <c r="G63" s="279" t="str">
        <f t="shared" si="15"/>
        <v/>
      </c>
      <c r="H63" s="280" t="str">
        <f t="shared" si="16"/>
        <v/>
      </c>
      <c r="I63" s="281" t="str">
        <f t="shared" si="17"/>
        <v/>
      </c>
      <c r="J63" s="179"/>
      <c r="K63" s="179" t="str">
        <f t="shared" si="20"/>
        <v/>
      </c>
      <c r="L63" s="179"/>
      <c r="M63" s="1">
        <f>SUMIF('💰BUDGET PLAN💰'!$B$80:$B$107,B63,'💰BUDGET PLAN💰'!$E$80:$E$107)</f>
        <v>0</v>
      </c>
      <c r="N63" s="278">
        <f>SUMIF('💰BUDGET PLAN💰'!$G$80:$G$107,'💸BUDGET REALIZED💸'!B63,'💰BUDGET PLAN💰'!$J$80:$J$107)</f>
        <v>0</v>
      </c>
      <c r="O63" s="1">
        <f>SUMIF('💰BUDGET PLAN💰'!$L$80:$L$107,'💸BUDGET REALIZED💸'!B63,'💰BUDGET PLAN💰'!$O$80:$O$107)</f>
        <v>0</v>
      </c>
    </row>
    <row r="64" ht="13.5" customHeight="1">
      <c r="A64" s="179"/>
      <c r="B64" s="127"/>
      <c r="C64" s="262"/>
      <c r="D64" s="263"/>
      <c r="E64" s="264">
        <f t="shared" si="19"/>
        <v>0</v>
      </c>
      <c r="F64" s="1"/>
      <c r="G64" s="279" t="str">
        <f t="shared" si="15"/>
        <v/>
      </c>
      <c r="H64" s="280" t="str">
        <f t="shared" si="16"/>
        <v/>
      </c>
      <c r="I64" s="281" t="str">
        <f t="shared" si="17"/>
        <v/>
      </c>
      <c r="J64" s="179"/>
      <c r="K64" s="179" t="str">
        <f t="shared" si="20"/>
        <v/>
      </c>
      <c r="L64" s="179"/>
      <c r="M64" s="1">
        <f>SUMIF('💰BUDGET PLAN💰'!$B$80:$B$107,B64,'💰BUDGET PLAN💰'!$E$80:$E$107)</f>
        <v>0</v>
      </c>
      <c r="N64" s="278">
        <f>SUMIF('💰BUDGET PLAN💰'!$G$80:$G$107,'💸BUDGET REALIZED💸'!B64,'💰BUDGET PLAN💰'!$J$80:$J$107)</f>
        <v>0</v>
      </c>
      <c r="O64" s="1">
        <f>SUMIF('💰BUDGET PLAN💰'!$L$80:$L$107,'💸BUDGET REALIZED💸'!B64,'💰BUDGET PLAN💰'!$O$80:$O$107)</f>
        <v>0</v>
      </c>
    </row>
    <row r="65" ht="13.5" customHeight="1">
      <c r="A65" s="179"/>
      <c r="B65" s="127"/>
      <c r="C65" s="262"/>
      <c r="D65" s="263"/>
      <c r="E65" s="264">
        <f t="shared" si="19"/>
        <v>0</v>
      </c>
      <c r="F65" s="1"/>
      <c r="G65" s="279" t="str">
        <f t="shared" si="15"/>
        <v/>
      </c>
      <c r="H65" s="280" t="str">
        <f t="shared" si="16"/>
        <v/>
      </c>
      <c r="I65" s="281" t="str">
        <f t="shared" si="17"/>
        <v/>
      </c>
      <c r="J65" s="179"/>
      <c r="K65" s="179" t="str">
        <f t="shared" si="20"/>
        <v/>
      </c>
      <c r="L65" s="179"/>
      <c r="M65" s="1">
        <f>SUMIF('💰BUDGET PLAN💰'!$B$80:$B$107,B65,'💰BUDGET PLAN💰'!$E$80:$E$107)</f>
        <v>0</v>
      </c>
      <c r="N65" s="278">
        <f>SUMIF('💰BUDGET PLAN💰'!$G$80:$G$107,'💸BUDGET REALIZED💸'!B65,'💰BUDGET PLAN💰'!$J$80:$J$107)</f>
        <v>0</v>
      </c>
      <c r="O65" s="1">
        <f>SUMIF('💰BUDGET PLAN💰'!$L$80:$L$107,'💸BUDGET REALIZED💸'!B65,'💰BUDGET PLAN💰'!$O$80:$O$107)</f>
        <v>0</v>
      </c>
    </row>
    <row r="66" ht="13.5" customHeight="1">
      <c r="A66" s="179"/>
      <c r="B66" s="127"/>
      <c r="C66" s="262"/>
      <c r="D66" s="282"/>
      <c r="E66" s="264">
        <f t="shared" si="19"/>
        <v>0</v>
      </c>
      <c r="F66" s="1"/>
      <c r="G66" s="279" t="str">
        <f t="shared" si="15"/>
        <v/>
      </c>
      <c r="H66" s="280" t="str">
        <f t="shared" si="16"/>
        <v/>
      </c>
      <c r="I66" s="281" t="str">
        <f t="shared" si="17"/>
        <v/>
      </c>
      <c r="J66" s="179"/>
      <c r="K66" s="179" t="str">
        <f t="shared" si="20"/>
        <v/>
      </c>
      <c r="L66" s="179"/>
      <c r="M66" s="1">
        <f>SUMIF('💰BUDGET PLAN💰'!$B$80:$B$107,B66,'💰BUDGET PLAN💰'!$E$80:$E$107)</f>
        <v>0</v>
      </c>
      <c r="N66" s="278">
        <f>SUMIF('💰BUDGET PLAN💰'!$G$80:$G$107,'💸BUDGET REALIZED💸'!B66,'💰BUDGET PLAN💰'!$J$80:$J$107)</f>
        <v>0</v>
      </c>
      <c r="O66" s="1">
        <f>SUMIF('💰BUDGET PLAN💰'!$L$80:$L$107,'💸BUDGET REALIZED💸'!B66,'💰BUDGET PLAN💰'!$O$80:$O$107)</f>
        <v>0</v>
      </c>
    </row>
    <row r="67" ht="13.5" customHeight="1">
      <c r="A67" s="179"/>
      <c r="B67" s="127"/>
      <c r="C67" s="262"/>
      <c r="D67" s="283"/>
      <c r="E67" s="264">
        <f t="shared" si="19"/>
        <v>0</v>
      </c>
      <c r="F67" s="1"/>
      <c r="G67" s="279" t="str">
        <f t="shared" si="15"/>
        <v/>
      </c>
      <c r="H67" s="280" t="str">
        <f t="shared" si="16"/>
        <v/>
      </c>
      <c r="I67" s="281" t="str">
        <f t="shared" si="17"/>
        <v/>
      </c>
      <c r="J67" s="179"/>
      <c r="K67" s="179"/>
      <c r="L67" s="179"/>
      <c r="M67" s="1"/>
      <c r="N67" s="278"/>
      <c r="O67" s="1"/>
    </row>
    <row r="68" ht="13.5" customHeight="1">
      <c r="A68" s="179"/>
      <c r="B68" s="127"/>
      <c r="C68" s="262"/>
      <c r="D68" s="283"/>
      <c r="E68" s="264">
        <f t="shared" si="19"/>
        <v>0</v>
      </c>
      <c r="F68" s="1"/>
      <c r="G68" s="279" t="str">
        <f t="shared" si="15"/>
        <v/>
      </c>
      <c r="H68" s="280" t="str">
        <f t="shared" si="16"/>
        <v/>
      </c>
      <c r="I68" s="281" t="str">
        <f t="shared" si="17"/>
        <v/>
      </c>
      <c r="J68" s="179"/>
      <c r="K68" s="179"/>
      <c r="L68" s="179"/>
      <c r="M68" s="1"/>
      <c r="N68" s="278"/>
      <c r="O68" s="1"/>
    </row>
    <row r="69" ht="13.5" customHeight="1">
      <c r="A69" s="179"/>
      <c r="B69" s="127"/>
      <c r="C69" s="262"/>
      <c r="D69" s="283"/>
      <c r="E69" s="264">
        <f t="shared" si="19"/>
        <v>0</v>
      </c>
      <c r="F69" s="1"/>
      <c r="G69" s="279" t="str">
        <f t="shared" si="15"/>
        <v/>
      </c>
      <c r="H69" s="280" t="str">
        <f t="shared" si="16"/>
        <v/>
      </c>
      <c r="I69" s="281" t="str">
        <f t="shared" si="17"/>
        <v/>
      </c>
      <c r="J69" s="179"/>
      <c r="K69" s="179"/>
      <c r="L69" s="179"/>
      <c r="M69" s="1"/>
      <c r="N69" s="278"/>
      <c r="O69" s="1"/>
    </row>
    <row r="70" ht="13.5" customHeight="1">
      <c r="A70" s="179"/>
      <c r="B70" s="127"/>
      <c r="C70" s="262"/>
      <c r="D70" s="283"/>
      <c r="E70" s="264">
        <f t="shared" si="19"/>
        <v>0</v>
      </c>
      <c r="F70" s="1"/>
      <c r="G70" s="279" t="str">
        <f t="shared" si="15"/>
        <v/>
      </c>
      <c r="H70" s="280" t="str">
        <f t="shared" si="16"/>
        <v/>
      </c>
      <c r="I70" s="281" t="str">
        <f t="shared" si="17"/>
        <v/>
      </c>
      <c r="J70" s="179"/>
      <c r="K70" s="179"/>
      <c r="L70" s="179"/>
      <c r="M70" s="1"/>
      <c r="N70" s="278"/>
      <c r="O70" s="1"/>
    </row>
    <row r="71" ht="13.5" customHeight="1">
      <c r="A71" s="179"/>
      <c r="B71" s="127"/>
      <c r="C71" s="262"/>
      <c r="D71" s="283"/>
      <c r="E71" s="264">
        <f t="shared" si="19"/>
        <v>0</v>
      </c>
      <c r="F71" s="1"/>
      <c r="G71" s="279" t="str">
        <f t="shared" si="15"/>
        <v/>
      </c>
      <c r="H71" s="280" t="str">
        <f t="shared" si="16"/>
        <v/>
      </c>
      <c r="I71" s="281" t="str">
        <f t="shared" si="17"/>
        <v/>
      </c>
      <c r="J71" s="179"/>
      <c r="K71" s="179"/>
      <c r="L71" s="179"/>
      <c r="M71" s="1"/>
      <c r="N71" s="278"/>
      <c r="O71" s="1"/>
    </row>
    <row r="72" ht="13.5" customHeight="1">
      <c r="A72" s="179"/>
      <c r="B72" s="127"/>
      <c r="C72" s="262"/>
      <c r="D72" s="283"/>
      <c r="E72" s="264">
        <f t="shared" si="19"/>
        <v>0</v>
      </c>
      <c r="F72" s="1"/>
      <c r="G72" s="279" t="str">
        <f t="shared" si="15"/>
        <v/>
      </c>
      <c r="H72" s="280" t="str">
        <f t="shared" si="16"/>
        <v/>
      </c>
      <c r="I72" s="281" t="str">
        <f t="shared" si="17"/>
        <v/>
      </c>
      <c r="J72" s="179"/>
      <c r="K72" s="179"/>
      <c r="L72" s="179"/>
      <c r="M72" s="1"/>
      <c r="N72" s="278"/>
      <c r="O72" s="1"/>
    </row>
    <row r="73" ht="13.5" customHeight="1">
      <c r="A73" s="179"/>
      <c r="B73" s="127"/>
      <c r="C73" s="262"/>
      <c r="D73" s="283"/>
      <c r="E73" s="264">
        <f t="shared" si="19"/>
        <v>0</v>
      </c>
      <c r="F73" s="1"/>
      <c r="G73" s="279" t="str">
        <f t="shared" si="15"/>
        <v/>
      </c>
      <c r="H73" s="280" t="str">
        <f t="shared" si="16"/>
        <v/>
      </c>
      <c r="I73" s="281" t="str">
        <f t="shared" si="17"/>
        <v/>
      </c>
      <c r="J73" s="179"/>
      <c r="K73" s="179"/>
      <c r="L73" s="179"/>
      <c r="M73" s="1"/>
      <c r="N73" s="278"/>
      <c r="O73" s="1"/>
    </row>
    <row r="74" ht="13.5" customHeight="1">
      <c r="A74" s="179"/>
      <c r="B74" s="127"/>
      <c r="C74" s="262"/>
      <c r="D74" s="283"/>
      <c r="E74" s="264">
        <f t="shared" si="19"/>
        <v>0</v>
      </c>
      <c r="F74" s="1"/>
      <c r="G74" s="279" t="str">
        <f t="shared" si="15"/>
        <v/>
      </c>
      <c r="H74" s="280" t="str">
        <f t="shared" si="16"/>
        <v/>
      </c>
      <c r="I74" s="281" t="str">
        <f t="shared" si="17"/>
        <v/>
      </c>
      <c r="J74" s="179"/>
      <c r="K74" s="179"/>
      <c r="L74" s="179"/>
      <c r="M74" s="1"/>
      <c r="N74" s="278"/>
      <c r="O74" s="1"/>
    </row>
    <row r="75" ht="13.5" customHeight="1">
      <c r="A75" s="179"/>
      <c r="B75" s="127"/>
      <c r="C75" s="262"/>
      <c r="D75" s="283"/>
      <c r="E75" s="264">
        <f t="shared" si="19"/>
        <v>0</v>
      </c>
      <c r="F75" s="1"/>
      <c r="G75" s="279" t="str">
        <f t="shared" si="15"/>
        <v/>
      </c>
      <c r="H75" s="280" t="str">
        <f t="shared" si="16"/>
        <v/>
      </c>
      <c r="I75" s="281" t="str">
        <f t="shared" si="17"/>
        <v/>
      </c>
      <c r="J75" s="179"/>
      <c r="K75" s="179"/>
      <c r="L75" s="179"/>
      <c r="M75" s="1"/>
      <c r="N75" s="278"/>
      <c r="O75" s="1"/>
    </row>
    <row r="76" ht="13.5" customHeight="1">
      <c r="A76" s="179"/>
      <c r="B76" s="127"/>
      <c r="C76" s="262"/>
      <c r="D76" s="283"/>
      <c r="E76" s="264">
        <f t="shared" si="19"/>
        <v>0</v>
      </c>
      <c r="F76" s="1"/>
      <c r="G76" s="279" t="str">
        <f t="shared" si="15"/>
        <v/>
      </c>
      <c r="H76" s="280" t="str">
        <f t="shared" si="16"/>
        <v/>
      </c>
      <c r="I76" s="281" t="str">
        <f t="shared" si="17"/>
        <v/>
      </c>
      <c r="J76" s="179"/>
      <c r="K76" s="179"/>
      <c r="L76" s="179"/>
      <c r="M76" s="1"/>
      <c r="N76" s="278"/>
      <c r="O76" s="1"/>
    </row>
    <row r="77" ht="13.5" customHeight="1">
      <c r="A77" s="179"/>
      <c r="B77" s="127"/>
      <c r="C77" s="262"/>
      <c r="D77" s="283"/>
      <c r="E77" s="264">
        <f t="shared" si="19"/>
        <v>0</v>
      </c>
      <c r="F77" s="1"/>
      <c r="G77" s="279" t="str">
        <f t="shared" si="15"/>
        <v/>
      </c>
      <c r="H77" s="280" t="str">
        <f t="shared" si="16"/>
        <v/>
      </c>
      <c r="I77" s="281" t="str">
        <f t="shared" si="17"/>
        <v/>
      </c>
      <c r="J77" s="179"/>
      <c r="K77" s="179"/>
      <c r="L77" s="179"/>
      <c r="M77" s="1"/>
      <c r="N77" s="278"/>
      <c r="O77" s="1"/>
    </row>
    <row r="78" ht="15.75" customHeight="1">
      <c r="A78" s="179"/>
      <c r="B78" s="260" t="s">
        <v>181</v>
      </c>
      <c r="C78" s="87"/>
      <c r="D78" s="88"/>
      <c r="E78" s="273">
        <f>SUM(E50:E77)</f>
        <v>0</v>
      </c>
      <c r="F78" s="1"/>
      <c r="G78" s="274" t="str">
        <f t="shared" si="15"/>
        <v/>
      </c>
      <c r="H78" s="275" t="str">
        <f t="shared" si="16"/>
        <v/>
      </c>
      <c r="I78" s="276" t="str">
        <f t="shared" si="17"/>
        <v/>
      </c>
      <c r="J78" s="179"/>
      <c r="K78" s="277" t="str">
        <f>IF(G78="","",IF(I78&gt;=1,$I$8,IF(H78&gt;=1,$H$8,$G$8)))</f>
        <v/>
      </c>
      <c r="L78" s="179"/>
      <c r="M78" s="244">
        <f>'💰BUDGET PLAN💰'!E108</f>
        <v>0</v>
      </c>
      <c r="N78" s="244">
        <f>'💰BUDGET PLAN💰'!J108</f>
        <v>0</v>
      </c>
      <c r="O78" s="244">
        <f>'💰BUDGET PLAN💰'!O108</f>
        <v>0</v>
      </c>
    </row>
    <row r="79" ht="15.75" customHeight="1">
      <c r="A79" s="179"/>
      <c r="B79" s="1"/>
      <c r="C79" s="244"/>
      <c r="D79" s="85"/>
      <c r="E79" s="1"/>
      <c r="F79" s="1"/>
      <c r="G79" s="1"/>
      <c r="H79" s="1"/>
      <c r="I79" s="1"/>
      <c r="J79" s="179"/>
      <c r="K79" s="179"/>
      <c r="L79" s="179"/>
      <c r="M79" s="1"/>
      <c r="N79" s="1"/>
      <c r="O79" s="1"/>
    </row>
    <row r="80" ht="24.0" customHeight="1">
      <c r="A80" s="179"/>
      <c r="B80" s="178" t="s">
        <v>182</v>
      </c>
      <c r="C80" s="259" t="s">
        <v>5</v>
      </c>
      <c r="D80" s="126" t="s">
        <v>6</v>
      </c>
      <c r="E80" s="125" t="s">
        <v>7</v>
      </c>
      <c r="F80" s="284"/>
      <c r="G80" s="260" t="s">
        <v>171</v>
      </c>
      <c r="H80" s="87"/>
      <c r="I80" s="88"/>
      <c r="J80" s="179"/>
      <c r="K80" s="179"/>
      <c r="L80" s="179"/>
      <c r="M80" s="1"/>
      <c r="N80" s="1"/>
      <c r="O80" s="1"/>
    </row>
    <row r="81" ht="15.75" customHeight="1">
      <c r="A81" s="184"/>
      <c r="B81" s="105"/>
      <c r="C81" s="262"/>
      <c r="D81" s="263"/>
      <c r="E81" s="264">
        <f t="shared" ref="E81:E85" si="21">C81*D81</f>
        <v>0</v>
      </c>
      <c r="F81" s="1"/>
      <c r="G81" s="265" t="str">
        <f t="shared" ref="G81:G83" si="22">IF(M81=0,"",E81/M81)</f>
        <v/>
      </c>
      <c r="H81" s="266" t="str">
        <f t="shared" ref="H81:H83" si="23">IF(N81=0,"",E81/N81)</f>
        <v/>
      </c>
      <c r="I81" s="267" t="str">
        <f t="shared" ref="I81:I83" si="24">IF(O81=0,"",E81/O81)</f>
        <v/>
      </c>
      <c r="J81" s="179"/>
      <c r="K81" s="179" t="str">
        <f t="shared" ref="K81:K91" si="25">IF(G81="","",IF(I81&gt;=1,$I$8,IF(H81&gt;=1,$H$8,$G$8)))</f>
        <v/>
      </c>
      <c r="L81" s="179"/>
      <c r="M81" s="1">
        <f>SUMIF('💰BUDGET PLAN💰'!$B$111:$B$129,'💸BUDGET REALIZED💸'!B81,'💰BUDGET PLAN💰'!$E$111:$E$129)</f>
        <v>0</v>
      </c>
      <c r="N81" s="1">
        <f>SUMIF('💰BUDGET PLAN💰'!$G$111:$G$129,'💸BUDGET REALIZED💸'!B81,'💰BUDGET PLAN💰'!$J$111:$J$129)</f>
        <v>0</v>
      </c>
      <c r="O81" s="1">
        <f>SUMIF('💰BUDGET PLAN💰'!$L$111:$L$129,'💸BUDGET REALIZED💸'!B81,'💰BUDGET PLAN💰'!$O$111:$O$129)</f>
        <v>0</v>
      </c>
    </row>
    <row r="82" ht="15.75" customHeight="1">
      <c r="A82" s="179"/>
      <c r="B82" s="110"/>
      <c r="C82" s="262"/>
      <c r="D82" s="263"/>
      <c r="E82" s="264">
        <f t="shared" si="21"/>
        <v>0</v>
      </c>
      <c r="F82" s="1"/>
      <c r="G82" s="279" t="str">
        <f t="shared" si="22"/>
        <v/>
      </c>
      <c r="H82" s="280" t="str">
        <f t="shared" si="23"/>
        <v/>
      </c>
      <c r="I82" s="281" t="str">
        <f t="shared" si="24"/>
        <v/>
      </c>
      <c r="J82" s="179"/>
      <c r="K82" s="179" t="str">
        <f t="shared" si="25"/>
        <v/>
      </c>
      <c r="L82" s="179"/>
      <c r="M82" s="1">
        <f>SUMIF('💰BUDGET PLAN💰'!$B$111:$B$129,'💸BUDGET REALIZED💸'!B82,'💰BUDGET PLAN💰'!$E$111:$E$129)</f>
        <v>0</v>
      </c>
      <c r="N82" s="1">
        <f>SUMIF('💰BUDGET PLAN💰'!$G$111:$G$129,'💸BUDGET REALIZED💸'!B82,'💰BUDGET PLAN💰'!$J$111:$J$129)</f>
        <v>0</v>
      </c>
      <c r="O82" s="1">
        <f>SUMIF('💰BUDGET PLAN💰'!$L$111:$L$129,'💸BUDGET REALIZED💸'!B82,'💰BUDGET PLAN💰'!$O$111:$O$129)</f>
        <v>0</v>
      </c>
    </row>
    <row r="83" ht="15.75" customHeight="1">
      <c r="A83" s="179"/>
      <c r="B83" s="110"/>
      <c r="C83" s="262"/>
      <c r="D83" s="263"/>
      <c r="E83" s="264">
        <f t="shared" si="21"/>
        <v>0</v>
      </c>
      <c r="F83" s="1"/>
      <c r="G83" s="279" t="str">
        <f t="shared" si="22"/>
        <v/>
      </c>
      <c r="H83" s="280" t="str">
        <f t="shared" si="23"/>
        <v/>
      </c>
      <c r="I83" s="281" t="str">
        <f t="shared" si="24"/>
        <v/>
      </c>
      <c r="J83" s="179"/>
      <c r="K83" s="179" t="str">
        <f t="shared" si="25"/>
        <v/>
      </c>
      <c r="L83" s="179"/>
      <c r="M83" s="1">
        <f>SUMIF('💰BUDGET PLAN💰'!$B$111:$B$129,'💸BUDGET REALIZED💸'!B83,'💰BUDGET PLAN💰'!$E$111:$E$129)</f>
        <v>0</v>
      </c>
      <c r="N83" s="1">
        <f>SUMIF('💰BUDGET PLAN💰'!$G$111:$G$129,'💸BUDGET REALIZED💸'!B83,'💰BUDGET PLAN💰'!$J$111:$J$129)</f>
        <v>0</v>
      </c>
      <c r="O83" s="1">
        <f>SUMIF('💰BUDGET PLAN💰'!$L$111:$L$129,'💸BUDGET REALIZED💸'!B83,'💰BUDGET PLAN💰'!$O$111:$O$129)</f>
        <v>0</v>
      </c>
    </row>
    <row r="84" ht="15.75" customHeight="1">
      <c r="A84" s="179"/>
      <c r="B84" s="110"/>
      <c r="C84" s="262"/>
      <c r="D84" s="263"/>
      <c r="E84" s="264">
        <f t="shared" si="21"/>
        <v>0</v>
      </c>
      <c r="F84" s="1"/>
      <c r="G84" s="279" t="str">
        <f t="shared" ref="G84:G88" si="26">IF(M84=0,"",E84/M84)</f>
        <v/>
      </c>
      <c r="H84" s="280" t="str">
        <f t="shared" ref="H84:H88" si="27">IF(N84=0,"",E84/N84)</f>
        <v/>
      </c>
      <c r="I84" s="281" t="str">
        <f t="shared" ref="I84:I88" si="28">IF(O84=0,"",E84/O84)</f>
        <v/>
      </c>
      <c r="J84" s="179"/>
      <c r="K84" s="179" t="str">
        <f t="shared" si="25"/>
        <v/>
      </c>
      <c r="L84" s="179"/>
      <c r="M84" s="1">
        <f>SUMIF('💰BUDGET PLAN💰'!$B$111:$B$129,'💸BUDGET REALIZED💸'!B84,'💰BUDGET PLAN💰'!$E$111:$E$129)</f>
        <v>0</v>
      </c>
      <c r="N84" s="1">
        <f>SUMIF('💰BUDGET PLAN💰'!$G$111:$G$129,'💸BUDGET REALIZED💸'!B84,'💰BUDGET PLAN💰'!$J$111:$J$129)</f>
        <v>0</v>
      </c>
      <c r="O84" s="1">
        <f>SUMIF('💰BUDGET PLAN💰'!$L$111:$L$129,'💸BUDGET REALIZED💸'!B84,'💰BUDGET PLAN💰'!$O$111:$O$129)</f>
        <v>0</v>
      </c>
    </row>
    <row r="85" ht="15.75" customHeight="1">
      <c r="A85" s="179"/>
      <c r="B85" s="110"/>
      <c r="C85" s="262"/>
      <c r="D85" s="263"/>
      <c r="E85" s="264">
        <f t="shared" si="21"/>
        <v>0</v>
      </c>
      <c r="F85" s="1"/>
      <c r="G85" s="279" t="str">
        <f t="shared" si="26"/>
        <v/>
      </c>
      <c r="H85" s="280" t="str">
        <f t="shared" si="27"/>
        <v/>
      </c>
      <c r="I85" s="281" t="str">
        <f t="shared" si="28"/>
        <v/>
      </c>
      <c r="J85" s="179"/>
      <c r="K85" s="179" t="str">
        <f t="shared" si="25"/>
        <v/>
      </c>
      <c r="L85" s="179"/>
      <c r="M85" s="1">
        <f>SUMIF('💰BUDGET PLAN💰'!$B$111:$B$129,'💸BUDGET REALIZED💸'!B85,'💰BUDGET PLAN💰'!$E$111:$E$129)</f>
        <v>0</v>
      </c>
      <c r="N85" s="1">
        <f>SUMIF('💰BUDGET PLAN💰'!$G$111:$G$129,'💸BUDGET REALIZED💸'!B85,'💰BUDGET PLAN💰'!$J$111:$J$129)</f>
        <v>0</v>
      </c>
      <c r="O85" s="1">
        <f>SUMIF('💰BUDGET PLAN💰'!$L$111:$L$129,'💸BUDGET REALIZED💸'!B85,'💰BUDGET PLAN💰'!$O$111:$O$129)</f>
        <v>0</v>
      </c>
    </row>
    <row r="86" ht="15.75" customHeight="1">
      <c r="A86" s="179"/>
      <c r="B86" s="110"/>
      <c r="C86" s="262"/>
      <c r="D86" s="263"/>
      <c r="E86" s="264">
        <v>0.0</v>
      </c>
      <c r="F86" s="1"/>
      <c r="G86" s="279" t="str">
        <f t="shared" si="26"/>
        <v/>
      </c>
      <c r="H86" s="280" t="str">
        <f t="shared" si="27"/>
        <v/>
      </c>
      <c r="I86" s="281" t="str">
        <f t="shared" si="28"/>
        <v/>
      </c>
      <c r="J86" s="179"/>
      <c r="K86" s="179" t="str">
        <f t="shared" si="25"/>
        <v/>
      </c>
      <c r="L86" s="179"/>
      <c r="M86" s="1">
        <f>SUMIF('💰BUDGET PLAN💰'!$B$111:$B$129,'💸BUDGET REALIZED💸'!B86,'💰BUDGET PLAN💰'!$E$111:$E$129)</f>
        <v>0</v>
      </c>
      <c r="N86" s="1">
        <f>SUMIF('💰BUDGET PLAN💰'!$G$111:$G$129,'💸BUDGET REALIZED💸'!B86,'💰BUDGET PLAN💰'!$J$111:$J$129)</f>
        <v>0</v>
      </c>
      <c r="O86" s="1">
        <f>SUMIF('💰BUDGET PLAN💰'!$L$111:$L$129,'💸BUDGET REALIZED💸'!B86,'💰BUDGET PLAN💰'!$O$111:$O$129)</f>
        <v>0</v>
      </c>
    </row>
    <row r="87" ht="15.75" customHeight="1">
      <c r="A87" s="179"/>
      <c r="B87" s="110"/>
      <c r="C87" s="262"/>
      <c r="D87" s="263"/>
      <c r="E87" s="264">
        <v>0.0</v>
      </c>
      <c r="F87" s="1"/>
      <c r="G87" s="279" t="str">
        <f t="shared" si="26"/>
        <v/>
      </c>
      <c r="H87" s="280" t="str">
        <f t="shared" si="27"/>
        <v/>
      </c>
      <c r="I87" s="281" t="str">
        <f t="shared" si="28"/>
        <v/>
      </c>
      <c r="J87" s="179"/>
      <c r="K87" s="179" t="str">
        <f t="shared" si="25"/>
        <v/>
      </c>
      <c r="L87" s="179"/>
      <c r="M87" s="1">
        <f>SUMIF('💰BUDGET PLAN💰'!$B$111:$B$129,'💸BUDGET REALIZED💸'!B87,'💰BUDGET PLAN💰'!$E$111:$E$129)</f>
        <v>0</v>
      </c>
      <c r="N87" s="1">
        <f>SUMIF('💰BUDGET PLAN💰'!$G$111:$G$129,'💸BUDGET REALIZED💸'!B87,'💰BUDGET PLAN💰'!$J$111:$J$129)</f>
        <v>0</v>
      </c>
      <c r="O87" s="1">
        <f>SUMIF('💰BUDGET PLAN💰'!$L$111:$L$129,'💸BUDGET REALIZED💸'!B87,'💰BUDGET PLAN💰'!$O$111:$O$129)</f>
        <v>0</v>
      </c>
    </row>
    <row r="88" ht="15.75" customHeight="1">
      <c r="A88" s="179"/>
      <c r="B88" s="110"/>
      <c r="C88" s="262"/>
      <c r="D88" s="263"/>
      <c r="E88" s="264">
        <v>0.0</v>
      </c>
      <c r="F88" s="1"/>
      <c r="G88" s="279" t="str">
        <f t="shared" si="26"/>
        <v/>
      </c>
      <c r="H88" s="280" t="str">
        <f t="shared" si="27"/>
        <v/>
      </c>
      <c r="I88" s="281" t="str">
        <f t="shared" si="28"/>
        <v/>
      </c>
      <c r="J88" s="179"/>
      <c r="K88" s="179" t="str">
        <f t="shared" si="25"/>
        <v/>
      </c>
      <c r="L88" s="179"/>
      <c r="M88" s="1">
        <f>SUMIF('💰BUDGET PLAN💰'!$B$111:$B$129,'💸BUDGET REALIZED💸'!B88,'💰BUDGET PLAN💰'!$E$111:$E$129)</f>
        <v>0</v>
      </c>
      <c r="N88" s="1">
        <f>SUMIF('💰BUDGET PLAN💰'!$G$111:$G$129,'💸BUDGET REALIZED💸'!B88,'💰BUDGET PLAN💰'!$J$111:$J$129)</f>
        <v>0</v>
      </c>
      <c r="O88" s="1">
        <f>SUMIF('💰BUDGET PLAN💰'!$L$111:$L$129,'💸BUDGET REALIZED💸'!B88,'💰BUDGET PLAN💰'!$O$111:$O$129)</f>
        <v>0</v>
      </c>
    </row>
    <row r="89" ht="15.75" customHeight="1">
      <c r="A89" s="179"/>
      <c r="B89" s="110"/>
      <c r="C89" s="262"/>
      <c r="D89" s="263"/>
      <c r="E89" s="264">
        <f t="shared" ref="E89:E99" si="29">C89*D89</f>
        <v>0</v>
      </c>
      <c r="F89" s="1"/>
      <c r="G89" s="279" t="str">
        <f t="shared" ref="G89:G100" si="30">IF(M89=0,"",E89/M89)</f>
        <v/>
      </c>
      <c r="H89" s="280" t="str">
        <f t="shared" ref="H89:H90" si="31">IF(N89=0,"",E89/N89)</f>
        <v/>
      </c>
      <c r="I89" s="281" t="str">
        <f t="shared" ref="I89:I90" si="32">IF(O89=0,"",E89/O89)</f>
        <v/>
      </c>
      <c r="J89" s="179"/>
      <c r="K89" s="179" t="str">
        <f t="shared" si="25"/>
        <v/>
      </c>
      <c r="L89" s="179"/>
      <c r="M89" s="1">
        <f>SUMIF('💰BUDGET PLAN💰'!$B$111:$B$129,'💸BUDGET REALIZED💸'!B89,'💰BUDGET PLAN💰'!$E$111:$E$129)</f>
        <v>0</v>
      </c>
      <c r="N89" s="1">
        <f>SUMIF('💰BUDGET PLAN💰'!$G$111:$G$129,'💸BUDGET REALIZED💸'!B89,'💰BUDGET PLAN💰'!$J$111:$J$129)</f>
        <v>0</v>
      </c>
      <c r="O89" s="1">
        <f>SUMIF('💰BUDGET PLAN💰'!$L$111:$L$129,'💸BUDGET REALIZED💸'!B89,'💰BUDGET PLAN💰'!$O$111:$O$129)</f>
        <v>0</v>
      </c>
    </row>
    <row r="90" ht="15.75" customHeight="1">
      <c r="A90" s="179"/>
      <c r="B90" s="110"/>
      <c r="C90" s="262"/>
      <c r="D90" s="263"/>
      <c r="E90" s="264">
        <f t="shared" si="29"/>
        <v>0</v>
      </c>
      <c r="F90" s="1"/>
      <c r="G90" s="279" t="str">
        <f t="shared" si="30"/>
        <v/>
      </c>
      <c r="H90" s="280" t="str">
        <f t="shared" si="31"/>
        <v/>
      </c>
      <c r="I90" s="281" t="str">
        <f t="shared" si="32"/>
        <v/>
      </c>
      <c r="J90" s="179"/>
      <c r="K90" s="179" t="str">
        <f t="shared" si="25"/>
        <v/>
      </c>
      <c r="L90" s="179"/>
      <c r="M90" s="1">
        <f>SUMIF('💰BUDGET PLAN💰'!$B$111:$B$129,'💸BUDGET REALIZED💸'!B90,'💰BUDGET PLAN💰'!$E$111:$E$129)</f>
        <v>0</v>
      </c>
      <c r="N90" s="1">
        <f>SUMIF('💰BUDGET PLAN💰'!$G$111:$G$129,'💸BUDGET REALIZED💸'!B90,'💰BUDGET PLAN💰'!$J$111:$J$129)</f>
        <v>0</v>
      </c>
      <c r="O90" s="1">
        <f>SUMIF('💰BUDGET PLAN💰'!$L$111:$L$129,'💸BUDGET REALIZED💸'!B90,'💰BUDGET PLAN💰'!$O$111:$O$129)</f>
        <v>0</v>
      </c>
    </row>
    <row r="91" ht="15.75" customHeight="1">
      <c r="A91" s="179"/>
      <c r="B91" s="110"/>
      <c r="C91" s="262"/>
      <c r="D91" s="263"/>
      <c r="E91" s="264">
        <f t="shared" si="29"/>
        <v>0</v>
      </c>
      <c r="F91" s="1"/>
      <c r="G91" s="279" t="str">
        <f t="shared" si="30"/>
        <v/>
      </c>
      <c r="H91" s="280" t="str">
        <f t="shared" ref="H91:H99" si="33">IF(N91=0,"",E91/N91)</f>
        <v/>
      </c>
      <c r="I91" s="281" t="str">
        <f t="shared" ref="I91:I99" si="34">IF(O91=0,"",E91/O91)</f>
        <v/>
      </c>
      <c r="J91" s="179"/>
      <c r="K91" s="179" t="str">
        <f t="shared" si="25"/>
        <v/>
      </c>
      <c r="L91" s="179"/>
      <c r="M91" s="1">
        <f>SUMIF('💰BUDGET PLAN💰'!$B$111:$B$129,'💸BUDGET REALIZED💸'!B91,'💰BUDGET PLAN💰'!$E$111:$E$129)</f>
        <v>0</v>
      </c>
      <c r="N91" s="1">
        <f>SUMIF('💰BUDGET PLAN💰'!$G$111:$G$129,'💸BUDGET REALIZED💸'!B91,'💰BUDGET PLAN💰'!$J$111:$J$129)</f>
        <v>0</v>
      </c>
      <c r="O91" s="1">
        <f>SUMIF('💰BUDGET PLAN💰'!$L$111:$L$129,'💸BUDGET REALIZED💸'!B91,'💰BUDGET PLAN💰'!$O$111:$O$129)</f>
        <v>0</v>
      </c>
    </row>
    <row r="92" ht="15.75" customHeight="1">
      <c r="A92" s="179"/>
      <c r="B92" s="110"/>
      <c r="C92" s="262"/>
      <c r="D92" s="285"/>
      <c r="E92" s="264">
        <f t="shared" si="29"/>
        <v>0</v>
      </c>
      <c r="F92" s="1"/>
      <c r="G92" s="279" t="str">
        <f t="shared" si="30"/>
        <v/>
      </c>
      <c r="H92" s="280" t="str">
        <f t="shared" si="33"/>
        <v/>
      </c>
      <c r="I92" s="281" t="str">
        <f t="shared" si="34"/>
        <v/>
      </c>
      <c r="J92" s="179"/>
      <c r="K92" s="179"/>
      <c r="L92" s="179"/>
      <c r="M92" s="1"/>
      <c r="N92" s="1"/>
      <c r="O92" s="1"/>
    </row>
    <row r="93" ht="15.75" customHeight="1">
      <c r="A93" s="179"/>
      <c r="B93" s="110"/>
      <c r="C93" s="262"/>
      <c r="D93" s="285"/>
      <c r="E93" s="264">
        <f t="shared" si="29"/>
        <v>0</v>
      </c>
      <c r="F93" s="1"/>
      <c r="G93" s="279" t="str">
        <f t="shared" si="30"/>
        <v/>
      </c>
      <c r="H93" s="280" t="str">
        <f t="shared" si="33"/>
        <v/>
      </c>
      <c r="I93" s="281" t="str">
        <f t="shared" si="34"/>
        <v/>
      </c>
      <c r="J93" s="179"/>
      <c r="K93" s="179"/>
      <c r="L93" s="179"/>
      <c r="M93" s="1"/>
      <c r="N93" s="1"/>
      <c r="O93" s="1"/>
    </row>
    <row r="94" ht="15.75" customHeight="1">
      <c r="A94" s="179"/>
      <c r="B94" s="110"/>
      <c r="C94" s="262"/>
      <c r="D94" s="285"/>
      <c r="E94" s="264">
        <f t="shared" si="29"/>
        <v>0</v>
      </c>
      <c r="F94" s="1"/>
      <c r="G94" s="279" t="str">
        <f t="shared" si="30"/>
        <v/>
      </c>
      <c r="H94" s="280" t="str">
        <f t="shared" si="33"/>
        <v/>
      </c>
      <c r="I94" s="281" t="str">
        <f t="shared" si="34"/>
        <v/>
      </c>
      <c r="J94" s="179"/>
      <c r="K94" s="179"/>
      <c r="L94" s="179"/>
      <c r="M94" s="1"/>
      <c r="N94" s="1"/>
      <c r="O94" s="1"/>
    </row>
    <row r="95" ht="15.75" customHeight="1">
      <c r="A95" s="179"/>
      <c r="B95" s="110"/>
      <c r="C95" s="262"/>
      <c r="D95" s="285"/>
      <c r="E95" s="264">
        <f t="shared" si="29"/>
        <v>0</v>
      </c>
      <c r="F95" s="1"/>
      <c r="G95" s="279" t="str">
        <f t="shared" si="30"/>
        <v/>
      </c>
      <c r="H95" s="280" t="str">
        <f t="shared" si="33"/>
        <v/>
      </c>
      <c r="I95" s="281" t="str">
        <f t="shared" si="34"/>
        <v/>
      </c>
      <c r="J95" s="179"/>
      <c r="K95" s="179"/>
      <c r="L95" s="179"/>
      <c r="M95" s="1"/>
      <c r="N95" s="1"/>
      <c r="O95" s="1"/>
    </row>
    <row r="96" ht="15.75" customHeight="1">
      <c r="A96" s="179"/>
      <c r="B96" s="110"/>
      <c r="C96" s="262"/>
      <c r="D96" s="285"/>
      <c r="E96" s="264">
        <f t="shared" si="29"/>
        <v>0</v>
      </c>
      <c r="F96" s="1"/>
      <c r="G96" s="279" t="str">
        <f t="shared" si="30"/>
        <v/>
      </c>
      <c r="H96" s="280" t="str">
        <f t="shared" si="33"/>
        <v/>
      </c>
      <c r="I96" s="281" t="str">
        <f t="shared" si="34"/>
        <v/>
      </c>
      <c r="J96" s="179"/>
      <c r="K96" s="179"/>
      <c r="L96" s="179"/>
      <c r="M96" s="1"/>
      <c r="N96" s="1"/>
      <c r="O96" s="1"/>
    </row>
    <row r="97" ht="15.75" customHeight="1">
      <c r="A97" s="179"/>
      <c r="B97" s="110"/>
      <c r="C97" s="262"/>
      <c r="D97" s="285"/>
      <c r="E97" s="264">
        <f t="shared" si="29"/>
        <v>0</v>
      </c>
      <c r="F97" s="1"/>
      <c r="G97" s="279" t="str">
        <f t="shared" si="30"/>
        <v/>
      </c>
      <c r="H97" s="280" t="str">
        <f t="shared" si="33"/>
        <v/>
      </c>
      <c r="I97" s="281" t="str">
        <f t="shared" si="34"/>
        <v/>
      </c>
      <c r="J97" s="179"/>
      <c r="K97" s="179"/>
      <c r="L97" s="179"/>
      <c r="M97" s="1"/>
      <c r="N97" s="1"/>
      <c r="O97" s="1"/>
    </row>
    <row r="98" ht="15.75" customHeight="1">
      <c r="A98" s="179"/>
      <c r="B98" s="110"/>
      <c r="C98" s="262"/>
      <c r="D98" s="285"/>
      <c r="E98" s="264">
        <f t="shared" si="29"/>
        <v>0</v>
      </c>
      <c r="F98" s="1"/>
      <c r="G98" s="279" t="str">
        <f t="shared" si="30"/>
        <v/>
      </c>
      <c r="H98" s="280" t="str">
        <f t="shared" si="33"/>
        <v/>
      </c>
      <c r="I98" s="281" t="str">
        <f t="shared" si="34"/>
        <v/>
      </c>
      <c r="J98" s="179"/>
      <c r="K98" s="179"/>
      <c r="L98" s="179"/>
      <c r="M98" s="1"/>
      <c r="N98" s="1"/>
      <c r="O98" s="1"/>
    </row>
    <row r="99" ht="15.75" customHeight="1">
      <c r="A99" s="179"/>
      <c r="B99" s="110"/>
      <c r="C99" s="262"/>
      <c r="D99" s="285"/>
      <c r="E99" s="264">
        <f t="shared" si="29"/>
        <v>0</v>
      </c>
      <c r="F99" s="1"/>
      <c r="G99" s="279" t="str">
        <f t="shared" si="30"/>
        <v/>
      </c>
      <c r="H99" s="280" t="str">
        <f t="shared" si="33"/>
        <v/>
      </c>
      <c r="I99" s="281" t="str">
        <f t="shared" si="34"/>
        <v/>
      </c>
      <c r="J99" s="179"/>
      <c r="K99" s="179"/>
      <c r="L99" s="179"/>
      <c r="M99" s="1"/>
      <c r="N99" s="1"/>
      <c r="O99" s="1"/>
    </row>
    <row r="100" ht="15.75" customHeight="1">
      <c r="A100" s="179"/>
      <c r="B100" s="260" t="s">
        <v>181</v>
      </c>
      <c r="C100" s="87"/>
      <c r="D100" s="88"/>
      <c r="E100" s="286">
        <f>SUM(E66:E99)</f>
        <v>0</v>
      </c>
      <c r="F100" s="1"/>
      <c r="G100" s="274" t="str">
        <f t="shared" si="30"/>
        <v/>
      </c>
      <c r="H100" s="275" t="str">
        <f>IF(N100=0,"",E100/N100)</f>
        <v/>
      </c>
      <c r="I100" s="276" t="str">
        <f>IF(O100=0,"",E100/O100)</f>
        <v/>
      </c>
      <c r="J100" s="179"/>
      <c r="K100" s="277" t="str">
        <f>IF(G100="","",IF(I100&gt;=1,$I$8,IF(H100&gt;=1,$H$8,$G$8)))</f>
        <v/>
      </c>
      <c r="L100" s="179"/>
      <c r="M100" s="244">
        <f>'💰BUDGET PLAN💰'!E130</f>
        <v>0</v>
      </c>
      <c r="N100" s="244">
        <f>'💰BUDGET PLAN💰'!J130</f>
        <v>0</v>
      </c>
      <c r="O100" s="244">
        <f>'💰BUDGET PLAN💰'!O130</f>
        <v>0</v>
      </c>
    </row>
    <row r="101" ht="17.25" customHeight="1">
      <c r="A101" s="179"/>
      <c r="B101" s="1"/>
      <c r="C101" s="244"/>
      <c r="D101" s="85"/>
      <c r="E101" s="1"/>
      <c r="F101" s="1"/>
      <c r="G101" s="1"/>
      <c r="H101" s="1"/>
      <c r="I101" s="1"/>
      <c r="J101" s="179"/>
      <c r="K101" s="179"/>
      <c r="L101" s="179"/>
      <c r="M101" s="1"/>
      <c r="N101" s="1"/>
      <c r="O101" s="1"/>
    </row>
    <row r="102" ht="24.0" customHeight="1">
      <c r="A102" s="179"/>
      <c r="B102" s="178" t="s">
        <v>182</v>
      </c>
      <c r="C102" s="259" t="s">
        <v>5</v>
      </c>
      <c r="D102" s="126" t="s">
        <v>6</v>
      </c>
      <c r="E102" s="125" t="s">
        <v>7</v>
      </c>
      <c r="F102" s="284"/>
      <c r="G102" s="260" t="s">
        <v>171</v>
      </c>
      <c r="H102" s="87"/>
      <c r="I102" s="88"/>
      <c r="J102" s="179"/>
      <c r="K102" s="179"/>
      <c r="L102" s="179"/>
      <c r="M102" s="1"/>
      <c r="N102" s="1"/>
      <c r="O102" s="1"/>
    </row>
    <row r="103" ht="15.0" customHeight="1">
      <c r="A103" s="179"/>
      <c r="B103" s="142"/>
      <c r="C103" s="262"/>
      <c r="D103" s="263"/>
      <c r="E103" s="264">
        <f t="shared" ref="E103:E114" si="35">C103*D103</f>
        <v>0</v>
      </c>
      <c r="F103" s="147"/>
      <c r="G103" s="265" t="str">
        <f t="shared" ref="G103:G115" si="36">IF(M103=0,"",E103/M103)</f>
        <v/>
      </c>
      <c r="H103" s="266" t="str">
        <f t="shared" ref="H103:H115" si="37">IF(N103=0,"",E103/N103)</f>
        <v/>
      </c>
      <c r="I103" s="267" t="str">
        <f t="shared" ref="I103:I115" si="38">IF(O103=0,"",E103/O103)</f>
        <v/>
      </c>
      <c r="J103" s="179"/>
      <c r="K103" s="179" t="str">
        <f t="shared" ref="K103:K115" si="39">IF(G103="","",IF(I103&gt;=1,$I$8,IF(H103&gt;=1,$H$8,$G$8)))</f>
        <v/>
      </c>
      <c r="L103" s="179"/>
      <c r="M103" s="1">
        <f>SUMIF('💰BUDGET PLAN💰'!$B$133:$B$144,'💸BUDGET REALIZED💸'!B103,'💰BUDGET PLAN💰'!$E$133:$E$144)</f>
        <v>0</v>
      </c>
      <c r="N103" s="1">
        <f>SUMIF('💰BUDGET PLAN💰'!$G$133:$G$144,'💸BUDGET REALIZED💸'!B103,'💰BUDGET PLAN💰'!$J$133:$J$144)</f>
        <v>0</v>
      </c>
      <c r="O103" s="1">
        <f>SUMIF('💰BUDGET PLAN💰'!$L$133:$L$144,'💸BUDGET REALIZED💸'!B103,'💰BUDGET PLAN💰'!$O$133:$O$144)</f>
        <v>0</v>
      </c>
    </row>
    <row r="104" ht="15.0" customHeight="1">
      <c r="A104" s="179"/>
      <c r="B104" s="148"/>
      <c r="C104" s="262"/>
      <c r="D104" s="263"/>
      <c r="E104" s="264">
        <f t="shared" si="35"/>
        <v>0</v>
      </c>
      <c r="F104" s="147"/>
      <c r="G104" s="279" t="str">
        <f t="shared" si="36"/>
        <v/>
      </c>
      <c r="H104" s="280" t="str">
        <f t="shared" si="37"/>
        <v/>
      </c>
      <c r="I104" s="281" t="str">
        <f t="shared" si="38"/>
        <v/>
      </c>
      <c r="J104" s="179"/>
      <c r="K104" s="179" t="str">
        <f t="shared" si="39"/>
        <v/>
      </c>
      <c r="L104" s="179"/>
      <c r="M104" s="1">
        <f>SUMIF('💰BUDGET PLAN💰'!$B$133:$B$144,'💸BUDGET REALIZED💸'!B104,'💰BUDGET PLAN💰'!$E$133:$E$144)</f>
        <v>0</v>
      </c>
      <c r="N104" s="1">
        <f>SUMIF('💰BUDGET PLAN💰'!$G$133:$G$144,'💸BUDGET REALIZED💸'!B104,'💰BUDGET PLAN💰'!$J$133:$J$144)</f>
        <v>0</v>
      </c>
      <c r="O104" s="1">
        <f>SUMIF('💰BUDGET PLAN💰'!$L$133:$L$144,'💸BUDGET REALIZED💸'!B104,'💰BUDGET PLAN💰'!$O$133:$O$144)</f>
        <v>0</v>
      </c>
    </row>
    <row r="105" ht="15.0" customHeight="1">
      <c r="A105" s="179"/>
      <c r="B105" s="148"/>
      <c r="C105" s="262"/>
      <c r="D105" s="263"/>
      <c r="E105" s="264">
        <f t="shared" si="35"/>
        <v>0</v>
      </c>
      <c r="F105" s="147"/>
      <c r="G105" s="279" t="str">
        <f t="shared" si="36"/>
        <v/>
      </c>
      <c r="H105" s="280" t="str">
        <f t="shared" si="37"/>
        <v/>
      </c>
      <c r="I105" s="281" t="str">
        <f t="shared" si="38"/>
        <v/>
      </c>
      <c r="J105" s="179"/>
      <c r="K105" s="179" t="str">
        <f t="shared" si="39"/>
        <v/>
      </c>
      <c r="L105" s="179"/>
      <c r="M105" s="1">
        <f>SUMIF('💰BUDGET PLAN💰'!$B$133:$B$144,'💸BUDGET REALIZED💸'!B105,'💰BUDGET PLAN💰'!$E$133:$E$144)</f>
        <v>0</v>
      </c>
      <c r="N105" s="1">
        <f>SUMIF('💰BUDGET PLAN💰'!$G$133:$G$144,'💸BUDGET REALIZED💸'!B105,'💰BUDGET PLAN💰'!$J$133:$J$144)</f>
        <v>0</v>
      </c>
      <c r="O105" s="1">
        <f>SUMIF('💰BUDGET PLAN💰'!$L$133:$L$144,'💸BUDGET REALIZED💸'!B105,'💰BUDGET PLAN💰'!$O$133:$O$144)</f>
        <v>0</v>
      </c>
    </row>
    <row r="106" ht="15.0" customHeight="1">
      <c r="A106" s="179"/>
      <c r="B106" s="148"/>
      <c r="C106" s="262"/>
      <c r="D106" s="263"/>
      <c r="E106" s="264">
        <f t="shared" si="35"/>
        <v>0</v>
      </c>
      <c r="F106" s="147"/>
      <c r="G106" s="279" t="str">
        <f t="shared" si="36"/>
        <v/>
      </c>
      <c r="H106" s="280" t="str">
        <f t="shared" si="37"/>
        <v/>
      </c>
      <c r="I106" s="281" t="str">
        <f t="shared" si="38"/>
        <v/>
      </c>
      <c r="J106" s="179"/>
      <c r="K106" s="179" t="str">
        <f t="shared" si="39"/>
        <v/>
      </c>
      <c r="L106" s="179"/>
      <c r="M106" s="1">
        <f>SUMIF('💰BUDGET PLAN💰'!$B$133:$B$144,'💸BUDGET REALIZED💸'!B106,'💰BUDGET PLAN💰'!$E$133:$E$144)</f>
        <v>0</v>
      </c>
      <c r="N106" s="1">
        <f>SUMIF('💰BUDGET PLAN💰'!$G$133:$G$144,'💸BUDGET REALIZED💸'!B106,'💰BUDGET PLAN💰'!$J$133:$J$144)</f>
        <v>0</v>
      </c>
      <c r="O106" s="1">
        <f>SUMIF('💰BUDGET PLAN💰'!$L$133:$L$144,'💸BUDGET REALIZED💸'!B106,'💰BUDGET PLAN💰'!$O$133:$O$144)</f>
        <v>0</v>
      </c>
    </row>
    <row r="107" ht="15.0" customHeight="1">
      <c r="A107" s="179"/>
      <c r="B107" s="148"/>
      <c r="C107" s="262"/>
      <c r="D107" s="263"/>
      <c r="E107" s="264">
        <f t="shared" si="35"/>
        <v>0</v>
      </c>
      <c r="F107" s="152"/>
      <c r="G107" s="279" t="str">
        <f t="shared" si="36"/>
        <v/>
      </c>
      <c r="H107" s="280" t="str">
        <f t="shared" si="37"/>
        <v/>
      </c>
      <c r="I107" s="281" t="str">
        <f t="shared" si="38"/>
        <v/>
      </c>
      <c r="J107" s="179"/>
      <c r="K107" s="179" t="str">
        <f t="shared" si="39"/>
        <v/>
      </c>
      <c r="L107" s="179"/>
      <c r="M107" s="1">
        <f>SUMIF('💰BUDGET PLAN💰'!$B$133:$B$144,'💸BUDGET REALIZED💸'!B107,'💰BUDGET PLAN💰'!$E$133:$E$144)</f>
        <v>0</v>
      </c>
      <c r="N107" s="1">
        <f>SUMIF('💰BUDGET PLAN💰'!$G$133:$G$144,'💸BUDGET REALIZED💸'!B107,'💰BUDGET PLAN💰'!$J$133:$J$144)</f>
        <v>0</v>
      </c>
      <c r="O107" s="1">
        <f>SUMIF('💰BUDGET PLAN💰'!$L$133:$L$144,'💸BUDGET REALIZED💸'!B107,'💰BUDGET PLAN💰'!$O$133:$O$144)</f>
        <v>0</v>
      </c>
    </row>
    <row r="108" ht="15.0" customHeight="1">
      <c r="A108" s="179"/>
      <c r="B108" s="148"/>
      <c r="C108" s="262"/>
      <c r="D108" s="263"/>
      <c r="E108" s="264">
        <f t="shared" si="35"/>
        <v>0</v>
      </c>
      <c r="F108" s="152"/>
      <c r="G108" s="279" t="str">
        <f t="shared" si="36"/>
        <v/>
      </c>
      <c r="H108" s="280" t="str">
        <f t="shared" si="37"/>
        <v/>
      </c>
      <c r="I108" s="281" t="str">
        <f t="shared" si="38"/>
        <v/>
      </c>
      <c r="J108" s="179"/>
      <c r="K108" s="179" t="str">
        <f t="shared" si="39"/>
        <v/>
      </c>
      <c r="L108" s="179"/>
      <c r="M108" s="1">
        <f>SUMIF('💰BUDGET PLAN💰'!$B$133:$B$144,'💸BUDGET REALIZED💸'!B108,'💰BUDGET PLAN💰'!$E$133:$E$144)</f>
        <v>0</v>
      </c>
      <c r="N108" s="1">
        <f>SUMIF('💰BUDGET PLAN💰'!$G$133:$G$144,'💸BUDGET REALIZED💸'!B108,'💰BUDGET PLAN💰'!$J$133:$J$144)</f>
        <v>0</v>
      </c>
      <c r="O108" s="1">
        <f>SUMIF('💰BUDGET PLAN💰'!$L$133:$L$144,'💸BUDGET REALIZED💸'!B108,'💰BUDGET PLAN💰'!$O$133:$O$144)</f>
        <v>0</v>
      </c>
    </row>
    <row r="109" ht="15.0" customHeight="1">
      <c r="A109" s="179"/>
      <c r="B109" s="148"/>
      <c r="C109" s="262"/>
      <c r="D109" s="263"/>
      <c r="E109" s="264">
        <f t="shared" si="35"/>
        <v>0</v>
      </c>
      <c r="F109" s="152"/>
      <c r="G109" s="279" t="str">
        <f t="shared" si="36"/>
        <v/>
      </c>
      <c r="H109" s="280" t="str">
        <f t="shared" si="37"/>
        <v/>
      </c>
      <c r="I109" s="281" t="str">
        <f t="shared" si="38"/>
        <v/>
      </c>
      <c r="J109" s="179"/>
      <c r="K109" s="179" t="str">
        <f t="shared" si="39"/>
        <v/>
      </c>
      <c r="L109" s="179"/>
      <c r="M109" s="1">
        <f>SUMIF('💰BUDGET PLAN💰'!$B$133:$B$144,'💸BUDGET REALIZED💸'!B109,'💰BUDGET PLAN💰'!$E$133:$E$144)</f>
        <v>0</v>
      </c>
      <c r="N109" s="1">
        <f>SUMIF('💰BUDGET PLAN💰'!$G$133:$G$144,'💸BUDGET REALIZED💸'!B109,'💰BUDGET PLAN💰'!$J$133:$J$144)</f>
        <v>0</v>
      </c>
      <c r="O109" s="1">
        <f>SUMIF('💰BUDGET PLAN💰'!$L$133:$L$144,'💸BUDGET REALIZED💸'!B109,'💰BUDGET PLAN💰'!$O$133:$O$144)</f>
        <v>0</v>
      </c>
    </row>
    <row r="110" ht="15.0" customHeight="1">
      <c r="A110" s="179"/>
      <c r="B110" s="148"/>
      <c r="C110" s="262"/>
      <c r="D110" s="282"/>
      <c r="E110" s="264">
        <f t="shared" si="35"/>
        <v>0</v>
      </c>
      <c r="F110" s="1"/>
      <c r="G110" s="279" t="str">
        <f t="shared" si="36"/>
        <v/>
      </c>
      <c r="H110" s="280" t="str">
        <f t="shared" si="37"/>
        <v/>
      </c>
      <c r="I110" s="281" t="str">
        <f t="shared" si="38"/>
        <v/>
      </c>
      <c r="J110" s="179"/>
      <c r="K110" s="179" t="str">
        <f t="shared" si="39"/>
        <v/>
      </c>
      <c r="L110" s="179"/>
      <c r="M110" s="1">
        <f>SUMIF('💰BUDGET PLAN💰'!$B$133:$B$144,'💸BUDGET REALIZED💸'!B110,'💰BUDGET PLAN💰'!$E$133:$E$144)</f>
        <v>0</v>
      </c>
      <c r="N110" s="1">
        <f>SUMIF('💰BUDGET PLAN💰'!$G$133:$G$144,'💸BUDGET REALIZED💸'!B110,'💰BUDGET PLAN💰'!$J$133:$J$144)</f>
        <v>0</v>
      </c>
      <c r="O110" s="1">
        <f>SUMIF('💰BUDGET PLAN💰'!$L$133:$L$144,'💸BUDGET REALIZED💸'!B110,'💰BUDGET PLAN💰'!$O$133:$O$144)</f>
        <v>0</v>
      </c>
    </row>
    <row r="111" ht="15.0" customHeight="1">
      <c r="A111" s="179"/>
      <c r="B111" s="148"/>
      <c r="C111" s="262"/>
      <c r="D111" s="282"/>
      <c r="E111" s="264">
        <f t="shared" si="35"/>
        <v>0</v>
      </c>
      <c r="F111" s="1"/>
      <c r="G111" s="279" t="str">
        <f t="shared" si="36"/>
        <v/>
      </c>
      <c r="H111" s="280" t="str">
        <f t="shared" si="37"/>
        <v/>
      </c>
      <c r="I111" s="281" t="str">
        <f t="shared" si="38"/>
        <v/>
      </c>
      <c r="J111" s="179"/>
      <c r="K111" s="179" t="str">
        <f t="shared" si="39"/>
        <v/>
      </c>
      <c r="L111" s="179"/>
      <c r="M111" s="1">
        <f>SUMIF('💰BUDGET PLAN💰'!$B$133:$B$144,'💸BUDGET REALIZED💸'!B111,'💰BUDGET PLAN💰'!$E$133:$E$144)</f>
        <v>0</v>
      </c>
      <c r="N111" s="1">
        <f>SUMIF('💰BUDGET PLAN💰'!$G$133:$G$144,'💸BUDGET REALIZED💸'!B111,'💰BUDGET PLAN💰'!$J$133:$J$144)</f>
        <v>0</v>
      </c>
      <c r="O111" s="1">
        <f>SUMIF('💰BUDGET PLAN💰'!$L$133:$L$144,'💸BUDGET REALIZED💸'!B111,'💰BUDGET PLAN💰'!$O$133:$O$144)</f>
        <v>0</v>
      </c>
    </row>
    <row r="112" ht="15.0" customHeight="1">
      <c r="A112" s="179"/>
      <c r="B112" s="148"/>
      <c r="C112" s="262"/>
      <c r="D112" s="282"/>
      <c r="E112" s="264">
        <f t="shared" si="35"/>
        <v>0</v>
      </c>
      <c r="F112" s="1"/>
      <c r="G112" s="279" t="str">
        <f t="shared" si="36"/>
        <v/>
      </c>
      <c r="H112" s="280" t="str">
        <f t="shared" si="37"/>
        <v/>
      </c>
      <c r="I112" s="281" t="str">
        <f t="shared" si="38"/>
        <v/>
      </c>
      <c r="J112" s="179"/>
      <c r="K112" s="179" t="str">
        <f t="shared" si="39"/>
        <v/>
      </c>
      <c r="L112" s="179"/>
      <c r="M112" s="1">
        <f>SUMIF('💰BUDGET PLAN💰'!$B$133:$B$144,'💸BUDGET REALIZED💸'!B112,'💰BUDGET PLAN💰'!$E$133:$E$144)</f>
        <v>0</v>
      </c>
      <c r="N112" s="1">
        <f>SUMIF('💰BUDGET PLAN💰'!$G$133:$G$144,'💸BUDGET REALIZED💸'!B112,'💰BUDGET PLAN💰'!$J$133:$J$144)</f>
        <v>0</v>
      </c>
      <c r="O112" s="1">
        <f>SUMIF('💰BUDGET PLAN💰'!$L$133:$L$144,'💸BUDGET REALIZED💸'!B112,'💰BUDGET PLAN💰'!$O$133:$O$144)</f>
        <v>0</v>
      </c>
    </row>
    <row r="113" ht="15.0" customHeight="1">
      <c r="A113" s="179"/>
      <c r="B113" s="148"/>
      <c r="C113" s="262"/>
      <c r="D113" s="263"/>
      <c r="E113" s="264">
        <f t="shared" si="35"/>
        <v>0</v>
      </c>
      <c r="F113" s="1"/>
      <c r="G113" s="279" t="str">
        <f t="shared" si="36"/>
        <v/>
      </c>
      <c r="H113" s="280" t="str">
        <f t="shared" si="37"/>
        <v/>
      </c>
      <c r="I113" s="281" t="str">
        <f t="shared" si="38"/>
        <v/>
      </c>
      <c r="J113" s="179"/>
      <c r="K113" s="179" t="str">
        <f t="shared" si="39"/>
        <v/>
      </c>
      <c r="L113" s="179"/>
      <c r="M113" s="1">
        <f>SUMIF('💰BUDGET PLAN💰'!$B$133:$B$144,'💸BUDGET REALIZED💸'!B113,'💰BUDGET PLAN💰'!$E$133:$E$144)</f>
        <v>0</v>
      </c>
      <c r="N113" s="1">
        <f>SUMIF('💰BUDGET PLAN💰'!$G$133:$G$144,'💸BUDGET REALIZED💸'!B113,'💰BUDGET PLAN💰'!$J$133:$J$144)</f>
        <v>0</v>
      </c>
      <c r="O113" s="1">
        <f>SUMIF('💰BUDGET PLAN💰'!$L$133:$L$144,'💸BUDGET REALIZED💸'!B113,'💰BUDGET PLAN💰'!$O$133:$O$144)</f>
        <v>0</v>
      </c>
    </row>
    <row r="114" ht="15.0" customHeight="1">
      <c r="A114" s="179"/>
      <c r="B114" s="148"/>
      <c r="C114" s="262"/>
      <c r="D114" s="287"/>
      <c r="E114" s="264">
        <f t="shared" si="35"/>
        <v>0</v>
      </c>
      <c r="F114" s="1"/>
      <c r="G114" s="288" t="str">
        <f t="shared" si="36"/>
        <v/>
      </c>
      <c r="H114" s="289" t="str">
        <f t="shared" si="37"/>
        <v/>
      </c>
      <c r="I114" s="290" t="str">
        <f t="shared" si="38"/>
        <v/>
      </c>
      <c r="J114" s="179"/>
      <c r="K114" s="179" t="str">
        <f t="shared" si="39"/>
        <v/>
      </c>
      <c r="L114" s="179"/>
      <c r="M114" s="1">
        <f>SUMIF('💰BUDGET PLAN💰'!$B$133:$B$144,'💸BUDGET REALIZED💸'!B114,'💰BUDGET PLAN💰'!$E$133:$E$144)</f>
        <v>0</v>
      </c>
      <c r="N114" s="1">
        <f>SUMIF('💰BUDGET PLAN💰'!$G$133:$G$144,'💸BUDGET REALIZED💸'!B114,'💰BUDGET PLAN💰'!$J$133:$J$144)</f>
        <v>0</v>
      </c>
      <c r="O114" s="1">
        <f>SUMIF('💰BUDGET PLAN💰'!$L$133:$L$144,'💸BUDGET REALIZED💸'!B114,'💰BUDGET PLAN💰'!$O$133:$O$144)</f>
        <v>0</v>
      </c>
    </row>
    <row r="115" ht="15.75" customHeight="1">
      <c r="A115" s="179"/>
      <c r="B115" s="260" t="s">
        <v>181</v>
      </c>
      <c r="C115" s="87"/>
      <c r="D115" s="88"/>
      <c r="E115" s="273">
        <f>SUM(E103:E114)</f>
        <v>0</v>
      </c>
      <c r="F115" s="1"/>
      <c r="G115" s="274" t="str">
        <f t="shared" si="36"/>
        <v/>
      </c>
      <c r="H115" s="275" t="str">
        <f t="shared" si="37"/>
        <v/>
      </c>
      <c r="I115" s="276" t="str">
        <f t="shared" si="38"/>
        <v/>
      </c>
      <c r="J115" s="179"/>
      <c r="K115" s="277" t="str">
        <f t="shared" si="39"/>
        <v/>
      </c>
      <c r="L115" s="179"/>
      <c r="M115" s="244">
        <f>'💰BUDGET PLAN💰'!E145</f>
        <v>0</v>
      </c>
      <c r="N115" s="244">
        <f>'💰BUDGET PLAN💰'!J145</f>
        <v>0</v>
      </c>
      <c r="O115" s="244">
        <f>'💰BUDGET PLAN💰'!O145</f>
        <v>0</v>
      </c>
    </row>
    <row r="116" ht="15.75" customHeight="1">
      <c r="A116" s="179"/>
      <c r="B116" s="1"/>
      <c r="C116" s="244"/>
      <c r="D116" s="291"/>
      <c r="E116" s="1"/>
      <c r="F116" s="1"/>
      <c r="G116" s="1"/>
      <c r="H116" s="1"/>
      <c r="I116" s="1"/>
      <c r="J116" s="179"/>
      <c r="K116" s="179"/>
      <c r="L116" s="179"/>
      <c r="M116" s="1"/>
      <c r="N116" s="1"/>
      <c r="O116" s="1"/>
    </row>
    <row r="117" ht="25.5" customHeight="1">
      <c r="A117" s="179"/>
      <c r="B117" s="178" t="s">
        <v>182</v>
      </c>
      <c r="C117" s="259" t="s">
        <v>5</v>
      </c>
      <c r="D117" s="126" t="s">
        <v>6</v>
      </c>
      <c r="E117" s="125" t="s">
        <v>7</v>
      </c>
      <c r="F117" s="179"/>
      <c r="G117" s="260" t="s">
        <v>171</v>
      </c>
      <c r="H117" s="87"/>
      <c r="I117" s="88"/>
      <c r="J117" s="179"/>
      <c r="K117" s="179"/>
      <c r="L117" s="179"/>
      <c r="M117" s="1"/>
      <c r="N117" s="1"/>
      <c r="O117" s="1"/>
    </row>
    <row r="118" ht="15.0" customHeight="1">
      <c r="A118" s="179"/>
      <c r="B118" s="105"/>
      <c r="C118" s="262"/>
      <c r="D118" s="263"/>
      <c r="E118" s="264">
        <f t="shared" ref="E118:E126" si="40">C118*D118</f>
        <v>0</v>
      </c>
      <c r="F118" s="1"/>
      <c r="G118" s="265" t="str">
        <f t="shared" ref="G118:G127" si="41">IF(M118=0,"",E118/M118)</f>
        <v/>
      </c>
      <c r="H118" s="266" t="str">
        <f t="shared" ref="H118:H127" si="42">IF(N118=0,"",E118/N118)</f>
        <v/>
      </c>
      <c r="I118" s="267" t="str">
        <f t="shared" ref="I118:I127" si="43">IF(O118=0,"",E118/O118)</f>
        <v/>
      </c>
      <c r="J118" s="179"/>
      <c r="K118" s="179" t="str">
        <f t="shared" ref="K118:K127" si="44">IF(G118="","",IF(I118&gt;=1,$I$8,IF(H118&gt;=1,$H$8,$G$8)))</f>
        <v/>
      </c>
      <c r="L118" s="179"/>
      <c r="M118" s="1">
        <f>SUMIF('💰BUDGET PLAN💰'!$B$148:$B$157,'💸BUDGET REALIZED💸'!B118,'💰BUDGET PLAN💰'!$E$148:$E$157)</f>
        <v>0</v>
      </c>
      <c r="N118" s="1">
        <f>SUMIF('💰BUDGET PLAN💰'!$G$148:$G$157,'💸BUDGET REALIZED💸'!B118,'💰BUDGET PLAN💰'!$J$148:$J$157)</f>
        <v>0</v>
      </c>
      <c r="O118" s="1">
        <f>SUMIF('💰BUDGET PLAN💰'!$L$148:$L$157,'💸BUDGET REALIZED💸'!B118,'💰BUDGET PLAN💰'!$O$148:$O$157)</f>
        <v>0</v>
      </c>
    </row>
    <row r="119" ht="15.0" customHeight="1">
      <c r="A119" s="179"/>
      <c r="B119" s="162"/>
      <c r="C119" s="292"/>
      <c r="D119" s="293"/>
      <c r="E119" s="264">
        <f t="shared" si="40"/>
        <v>0</v>
      </c>
      <c r="F119" s="1"/>
      <c r="G119" s="279" t="str">
        <f t="shared" si="41"/>
        <v/>
      </c>
      <c r="H119" s="280" t="str">
        <f t="shared" si="42"/>
        <v/>
      </c>
      <c r="I119" s="281" t="str">
        <f t="shared" si="43"/>
        <v/>
      </c>
      <c r="J119" s="179"/>
      <c r="K119" s="179" t="str">
        <f t="shared" si="44"/>
        <v/>
      </c>
      <c r="L119" s="179"/>
      <c r="M119" s="1">
        <f>SUMIF('💰BUDGET PLAN💰'!$B$148:$B$157,'💸BUDGET REALIZED💸'!B119,'💰BUDGET PLAN💰'!$E$148:$E$157)</f>
        <v>0</v>
      </c>
      <c r="N119" s="1">
        <f>SUMIF('💰BUDGET PLAN💰'!$G$148:$G$157,'💸BUDGET REALIZED💸'!B119,'💰BUDGET PLAN💰'!$J$148:$J$157)</f>
        <v>0</v>
      </c>
      <c r="O119" s="1">
        <f>SUMIF('💰BUDGET PLAN💰'!$L$148:$L$157,'💸BUDGET REALIZED💸'!B119,'💰BUDGET PLAN💰'!$O$148:$O$157)</f>
        <v>0</v>
      </c>
    </row>
    <row r="120" ht="15.0" customHeight="1">
      <c r="A120" s="179"/>
      <c r="B120" s="162"/>
      <c r="C120" s="294"/>
      <c r="D120" s="263"/>
      <c r="E120" s="264">
        <f t="shared" si="40"/>
        <v>0</v>
      </c>
      <c r="F120" s="1"/>
      <c r="G120" s="279" t="str">
        <f t="shared" si="41"/>
        <v/>
      </c>
      <c r="H120" s="280" t="str">
        <f t="shared" si="42"/>
        <v/>
      </c>
      <c r="I120" s="281" t="str">
        <f t="shared" si="43"/>
        <v/>
      </c>
      <c r="J120" s="179"/>
      <c r="K120" s="179" t="str">
        <f t="shared" si="44"/>
        <v/>
      </c>
      <c r="L120" s="179"/>
      <c r="M120" s="1">
        <f>SUMIF('💰BUDGET PLAN💰'!$B$148:$B$157,'💸BUDGET REALIZED💸'!B120,'💰BUDGET PLAN💰'!$E$148:$E$157)</f>
        <v>0</v>
      </c>
      <c r="N120" s="1">
        <f>SUMIF('💰BUDGET PLAN💰'!$G$148:$G$157,'💸BUDGET REALIZED💸'!B120,'💰BUDGET PLAN💰'!$J$148:$J$157)</f>
        <v>0</v>
      </c>
      <c r="O120" s="1">
        <f>SUMIF('💰BUDGET PLAN💰'!$L$148:$L$157,'💸BUDGET REALIZED💸'!B120,'💰BUDGET PLAN💰'!$O$148:$O$157)</f>
        <v>0</v>
      </c>
    </row>
    <row r="121" ht="15.0" customHeight="1">
      <c r="A121" s="179"/>
      <c r="B121" s="167"/>
      <c r="C121" s="294"/>
      <c r="D121" s="263"/>
      <c r="E121" s="264">
        <f t="shared" si="40"/>
        <v>0</v>
      </c>
      <c r="F121" s="1"/>
      <c r="G121" s="279" t="str">
        <f t="shared" si="41"/>
        <v/>
      </c>
      <c r="H121" s="280" t="str">
        <f t="shared" si="42"/>
        <v/>
      </c>
      <c r="I121" s="281" t="str">
        <f t="shared" si="43"/>
        <v/>
      </c>
      <c r="J121" s="179"/>
      <c r="K121" s="179" t="str">
        <f t="shared" si="44"/>
        <v/>
      </c>
      <c r="L121" s="179"/>
      <c r="M121" s="1">
        <f>SUMIF('💰BUDGET PLAN💰'!$B$148:$B$157,'💸BUDGET REALIZED💸'!B121,'💰BUDGET PLAN💰'!$E$148:$E$157)</f>
        <v>0</v>
      </c>
      <c r="N121" s="1">
        <f>SUMIF('💰BUDGET PLAN💰'!$G$148:$G$157,'💸BUDGET REALIZED💸'!B121,'💰BUDGET PLAN💰'!$J$148:$J$157)</f>
        <v>0</v>
      </c>
      <c r="O121" s="1">
        <f>SUMIF('💰BUDGET PLAN💰'!$L$148:$L$157,'💸BUDGET REALIZED💸'!B121,'💰BUDGET PLAN💰'!$O$148:$O$157)</f>
        <v>0</v>
      </c>
    </row>
    <row r="122" ht="15.0" customHeight="1">
      <c r="A122" s="179"/>
      <c r="B122" s="110"/>
      <c r="C122" s="295"/>
      <c r="D122" s="296"/>
      <c r="E122" s="264">
        <f t="shared" si="40"/>
        <v>0</v>
      </c>
      <c r="F122" s="1"/>
      <c r="G122" s="279" t="str">
        <f t="shared" si="41"/>
        <v/>
      </c>
      <c r="H122" s="280" t="str">
        <f t="shared" si="42"/>
        <v/>
      </c>
      <c r="I122" s="281" t="str">
        <f t="shared" si="43"/>
        <v/>
      </c>
      <c r="J122" s="179"/>
      <c r="K122" s="179" t="str">
        <f t="shared" si="44"/>
        <v/>
      </c>
      <c r="L122" s="179"/>
      <c r="M122" s="1">
        <f>SUMIF('💰BUDGET PLAN💰'!$B$148:$B$157,'💸BUDGET REALIZED💸'!B122,'💰BUDGET PLAN💰'!$E$148:$E$157)</f>
        <v>0</v>
      </c>
      <c r="N122" s="1">
        <f>SUMIF('💰BUDGET PLAN💰'!$G$148:$G$157,'💸BUDGET REALIZED💸'!B122,'💰BUDGET PLAN💰'!$J$148:$J$157)</f>
        <v>0</v>
      </c>
      <c r="O122" s="1">
        <f>SUMIF('💰BUDGET PLAN💰'!$L$148:$L$157,'💸BUDGET REALIZED💸'!B122,'💰BUDGET PLAN💰'!$O$148:$O$157)</f>
        <v>0</v>
      </c>
    </row>
    <row r="123" ht="15.0" customHeight="1">
      <c r="A123" s="179"/>
      <c r="B123" s="110"/>
      <c r="C123" s="297"/>
      <c r="D123" s="298"/>
      <c r="E123" s="264">
        <f t="shared" si="40"/>
        <v>0</v>
      </c>
      <c r="F123" s="1"/>
      <c r="G123" s="279" t="str">
        <f t="shared" si="41"/>
        <v/>
      </c>
      <c r="H123" s="280" t="str">
        <f t="shared" si="42"/>
        <v/>
      </c>
      <c r="I123" s="281" t="str">
        <f t="shared" si="43"/>
        <v/>
      </c>
      <c r="J123" s="179"/>
      <c r="K123" s="179" t="str">
        <f t="shared" si="44"/>
        <v/>
      </c>
      <c r="L123" s="179"/>
      <c r="M123" s="1">
        <f>SUMIF('💰BUDGET PLAN💰'!$B$148:$B$157,'💸BUDGET REALIZED💸'!B123,'💰BUDGET PLAN💰'!$E$148:$E$157)</f>
        <v>0</v>
      </c>
      <c r="N123" s="1">
        <f>SUMIF('💰BUDGET PLAN💰'!$G$148:$G$157,'💸BUDGET REALIZED💸'!B123,'💰BUDGET PLAN💰'!$J$148:$J$157)</f>
        <v>0</v>
      </c>
      <c r="O123" s="1">
        <f>SUMIF('💰BUDGET PLAN💰'!$L$148:$L$157,'💸BUDGET REALIZED💸'!B123,'💰BUDGET PLAN💰'!$O$148:$O$157)</f>
        <v>0</v>
      </c>
    </row>
    <row r="124" ht="15.0" customHeight="1">
      <c r="A124" s="179"/>
      <c r="B124" s="110"/>
      <c r="C124" s="297"/>
      <c r="D124" s="298"/>
      <c r="E124" s="264">
        <f t="shared" si="40"/>
        <v>0</v>
      </c>
      <c r="F124" s="1"/>
      <c r="G124" s="279" t="str">
        <f t="shared" si="41"/>
        <v/>
      </c>
      <c r="H124" s="280" t="str">
        <f t="shared" si="42"/>
        <v/>
      </c>
      <c r="I124" s="281" t="str">
        <f t="shared" si="43"/>
        <v/>
      </c>
      <c r="J124" s="179"/>
      <c r="K124" s="179" t="str">
        <f t="shared" si="44"/>
        <v/>
      </c>
      <c r="L124" s="179"/>
      <c r="M124" s="1">
        <f>SUMIF('💰BUDGET PLAN💰'!$B$148:$B$157,'💸BUDGET REALIZED💸'!B124,'💰BUDGET PLAN💰'!$E$148:$E$157)</f>
        <v>0</v>
      </c>
      <c r="N124" s="1">
        <f>SUMIF('💰BUDGET PLAN💰'!$G$148:$G$157,'💸BUDGET REALIZED💸'!B124,'💰BUDGET PLAN💰'!$J$148:$J$157)</f>
        <v>0</v>
      </c>
      <c r="O124" s="1">
        <f>SUMIF('💰BUDGET PLAN💰'!$L$148:$L$157,'💸BUDGET REALIZED💸'!B124,'💰BUDGET PLAN💰'!$O$148:$O$157)</f>
        <v>0</v>
      </c>
    </row>
    <row r="125" ht="15.0" customHeight="1">
      <c r="A125" s="179"/>
      <c r="B125" s="110"/>
      <c r="C125" s="297"/>
      <c r="D125" s="298"/>
      <c r="E125" s="264">
        <f t="shared" si="40"/>
        <v>0</v>
      </c>
      <c r="F125" s="1"/>
      <c r="G125" s="279" t="str">
        <f t="shared" si="41"/>
        <v/>
      </c>
      <c r="H125" s="280" t="str">
        <f t="shared" si="42"/>
        <v/>
      </c>
      <c r="I125" s="281" t="str">
        <f t="shared" si="43"/>
        <v/>
      </c>
      <c r="J125" s="179"/>
      <c r="K125" s="179" t="str">
        <f t="shared" si="44"/>
        <v/>
      </c>
      <c r="L125" s="179"/>
      <c r="M125" s="1">
        <f>SUMIF('💰BUDGET PLAN💰'!$B$148:$B$157,'💸BUDGET REALIZED💸'!B125,'💰BUDGET PLAN💰'!$E$148:$E$157)</f>
        <v>0</v>
      </c>
      <c r="N125" s="1">
        <f>SUMIF('💰BUDGET PLAN💰'!$G$148:$G$157,'💸BUDGET REALIZED💸'!B125,'💰BUDGET PLAN💰'!$J$148:$J$157)</f>
        <v>0</v>
      </c>
      <c r="O125" s="1">
        <f>SUMIF('💰BUDGET PLAN💰'!$L$148:$L$157,'💸BUDGET REALIZED💸'!B125,'💰BUDGET PLAN💰'!$O$148:$O$157)</f>
        <v>0</v>
      </c>
    </row>
    <row r="126" ht="15.0" customHeight="1">
      <c r="A126" s="179"/>
      <c r="B126" s="110"/>
      <c r="C126" s="297"/>
      <c r="D126" s="298"/>
      <c r="E126" s="264">
        <f t="shared" si="40"/>
        <v>0</v>
      </c>
      <c r="F126" s="1"/>
      <c r="G126" s="279" t="str">
        <f t="shared" si="41"/>
        <v/>
      </c>
      <c r="H126" s="280" t="str">
        <f t="shared" si="42"/>
        <v/>
      </c>
      <c r="I126" s="281" t="str">
        <f t="shared" si="43"/>
        <v/>
      </c>
      <c r="J126" s="179"/>
      <c r="K126" s="179" t="str">
        <f t="shared" si="44"/>
        <v/>
      </c>
      <c r="L126" s="179"/>
      <c r="M126" s="1">
        <f>SUMIF('💰BUDGET PLAN💰'!$B$148:$B$157,'💸BUDGET REALIZED💸'!B126,'💰BUDGET PLAN💰'!$E$148:$E$157)</f>
        <v>0</v>
      </c>
      <c r="N126" s="1">
        <f>SUMIF('💰BUDGET PLAN💰'!$G$148:$G$157,'💸BUDGET REALIZED💸'!B126,'💰BUDGET PLAN💰'!$J$148:$J$157)</f>
        <v>0</v>
      </c>
      <c r="O126" s="1">
        <f>SUMIF('💰BUDGET PLAN💰'!$L$148:$L$157,'💸BUDGET REALIZED💸'!B126,'💰BUDGET PLAN💰'!$O$148:$O$157)</f>
        <v>0</v>
      </c>
    </row>
    <row r="127" ht="15.0" customHeight="1">
      <c r="A127" s="179"/>
      <c r="B127" s="260" t="s">
        <v>181</v>
      </c>
      <c r="C127" s="87"/>
      <c r="D127" s="88"/>
      <c r="E127" s="273">
        <f>SUM(E118:E126)</f>
        <v>0</v>
      </c>
      <c r="F127" s="1"/>
      <c r="G127" s="274" t="str">
        <f t="shared" si="41"/>
        <v/>
      </c>
      <c r="H127" s="275" t="str">
        <f t="shared" si="42"/>
        <v/>
      </c>
      <c r="I127" s="276" t="str">
        <f t="shared" si="43"/>
        <v/>
      </c>
      <c r="J127" s="179"/>
      <c r="K127" s="277" t="str">
        <f t="shared" si="44"/>
        <v/>
      </c>
      <c r="L127" s="179"/>
      <c r="M127" s="244">
        <f>'💰BUDGET PLAN💰'!E158</f>
        <v>0</v>
      </c>
      <c r="N127" s="244">
        <f>'💰BUDGET PLAN💰'!J158</f>
        <v>0</v>
      </c>
      <c r="O127" s="244">
        <f>'💰BUDGET PLAN💰'!O158</f>
        <v>0</v>
      </c>
    </row>
    <row r="128" ht="15.0" customHeight="1">
      <c r="A128" s="179"/>
      <c r="B128" s="1"/>
      <c r="C128" s="244"/>
      <c r="D128" s="85"/>
      <c r="E128" s="1"/>
      <c r="F128" s="1"/>
      <c r="G128" s="1"/>
      <c r="H128" s="1"/>
      <c r="I128" s="1"/>
      <c r="J128" s="179"/>
      <c r="K128" s="179"/>
      <c r="L128" s="179"/>
      <c r="M128" s="1"/>
      <c r="N128" s="1"/>
      <c r="O128" s="1"/>
    </row>
    <row r="129" ht="24.75" customHeight="1">
      <c r="A129" s="179"/>
      <c r="B129" s="178" t="s">
        <v>182</v>
      </c>
      <c r="C129" s="259" t="s">
        <v>5</v>
      </c>
      <c r="D129" s="126" t="s">
        <v>6</v>
      </c>
      <c r="E129" s="125" t="s">
        <v>7</v>
      </c>
      <c r="F129" s="179"/>
      <c r="G129" s="260" t="s">
        <v>171</v>
      </c>
      <c r="H129" s="87"/>
      <c r="I129" s="88"/>
      <c r="J129" s="179"/>
      <c r="K129" s="179"/>
      <c r="L129" s="179"/>
      <c r="M129" s="1"/>
      <c r="N129" s="1"/>
      <c r="O129" s="1"/>
    </row>
    <row r="130" ht="15.0" customHeight="1">
      <c r="A130" s="184"/>
      <c r="B130" s="105"/>
      <c r="C130" s="262"/>
      <c r="D130" s="263"/>
      <c r="E130" s="299">
        <f t="shared" ref="E130:E138" si="45">C130*D130</f>
        <v>0</v>
      </c>
      <c r="F130" s="1"/>
      <c r="G130" s="265" t="str">
        <f t="shared" ref="G130:G139" si="46">IF(M130=0,"",E130/M130)</f>
        <v/>
      </c>
      <c r="H130" s="266" t="str">
        <f t="shared" ref="H130:H139" si="47">IF(N130=0,"",E130/N130)</f>
        <v/>
      </c>
      <c r="I130" s="267" t="str">
        <f t="shared" ref="I130:I134" si="48">IF(O130=0,"",E130/O130)</f>
        <v/>
      </c>
      <c r="J130" s="179"/>
      <c r="K130" s="179" t="str">
        <f t="shared" ref="K130:K139" si="49">IF(G130="","",IF(I130&gt;=1,$I$8,IF(H130&gt;=1,$H$8,$G$8)))</f>
        <v/>
      </c>
      <c r="L130" s="179"/>
      <c r="M130" s="1">
        <f>SUMIF('💰BUDGET PLAN💰'!$B$161:$B$170,B130,'💰BUDGET PLAN💰'!$E$161:$E$170)</f>
        <v>0</v>
      </c>
      <c r="N130" s="1">
        <f>SUMIF('💰BUDGET PLAN💰'!$G$161:$G$170,'💸BUDGET REALIZED💸'!B130,'💰BUDGET PLAN💰'!$J$161:$J$170)</f>
        <v>0</v>
      </c>
      <c r="O130" s="1">
        <f>SUMIF('💰BUDGET PLAN💰'!$L$161:$L$170,'💸BUDGET REALIZED💸'!B130,'💰BUDGET PLAN💰'!$O$161:$O$170)</f>
        <v>0</v>
      </c>
    </row>
    <row r="131" ht="15.0" customHeight="1">
      <c r="A131" s="179"/>
      <c r="B131" s="127"/>
      <c r="C131" s="262"/>
      <c r="D131" s="263"/>
      <c r="E131" s="299">
        <f t="shared" si="45"/>
        <v>0</v>
      </c>
      <c r="F131" s="1"/>
      <c r="G131" s="279" t="str">
        <f t="shared" si="46"/>
        <v/>
      </c>
      <c r="H131" s="280" t="str">
        <f t="shared" si="47"/>
        <v/>
      </c>
      <c r="I131" s="281" t="str">
        <f t="shared" si="48"/>
        <v/>
      </c>
      <c r="J131" s="179"/>
      <c r="K131" s="179" t="str">
        <f t="shared" si="49"/>
        <v/>
      </c>
      <c r="L131" s="179"/>
      <c r="M131" s="1">
        <f>SUMIF('💰BUDGET PLAN💰'!$B$161:$B$170,B131,'💰BUDGET PLAN💰'!$E$161:$E$170)</f>
        <v>0</v>
      </c>
      <c r="N131" s="1">
        <f>SUMIF('💰BUDGET PLAN💰'!$G$161:$G$170,'💸BUDGET REALIZED💸'!B131,'💰BUDGET PLAN💰'!$J$161:$J$170)</f>
        <v>0</v>
      </c>
      <c r="O131" s="1">
        <f>SUMIF('💰BUDGET PLAN💰'!$L$161:$L$170,'💸BUDGET REALIZED💸'!B131,'💰BUDGET PLAN💰'!$O$161:$O$170)</f>
        <v>0</v>
      </c>
    </row>
    <row r="132" ht="15.0" customHeight="1">
      <c r="A132" s="179"/>
      <c r="B132" s="127"/>
      <c r="C132" s="262"/>
      <c r="D132" s="263"/>
      <c r="E132" s="299">
        <f t="shared" si="45"/>
        <v>0</v>
      </c>
      <c r="F132" s="1"/>
      <c r="G132" s="279" t="str">
        <f t="shared" si="46"/>
        <v/>
      </c>
      <c r="H132" s="280" t="str">
        <f t="shared" si="47"/>
        <v/>
      </c>
      <c r="I132" s="281" t="str">
        <f t="shared" si="48"/>
        <v/>
      </c>
      <c r="J132" s="179"/>
      <c r="K132" s="179" t="str">
        <f t="shared" si="49"/>
        <v/>
      </c>
      <c r="L132" s="179"/>
      <c r="M132" s="1">
        <f>SUMIF('💰BUDGET PLAN💰'!$B$161:$B$170,B132,'💰BUDGET PLAN💰'!$E$161:$E$170)</f>
        <v>0</v>
      </c>
      <c r="N132" s="1">
        <f>SUMIF('💰BUDGET PLAN💰'!$G$161:$G$170,'💸BUDGET REALIZED💸'!B132,'💰BUDGET PLAN💰'!$J$161:$J$170)</f>
        <v>0</v>
      </c>
      <c r="O132" s="1">
        <f>SUMIF('💰BUDGET PLAN💰'!$L$161:$L$170,'💸BUDGET REALIZED💸'!B132,'💰BUDGET PLAN💰'!$O$161:$O$170)</f>
        <v>0</v>
      </c>
    </row>
    <row r="133" ht="15.0" customHeight="1">
      <c r="A133" s="179"/>
      <c r="B133" s="127"/>
      <c r="C133" s="262"/>
      <c r="D133" s="263"/>
      <c r="E133" s="299">
        <f t="shared" si="45"/>
        <v>0</v>
      </c>
      <c r="F133" s="1"/>
      <c r="G133" s="279" t="str">
        <f t="shared" si="46"/>
        <v/>
      </c>
      <c r="H133" s="280" t="str">
        <f t="shared" si="47"/>
        <v/>
      </c>
      <c r="I133" s="281" t="str">
        <f t="shared" si="48"/>
        <v/>
      </c>
      <c r="J133" s="179"/>
      <c r="K133" s="179" t="str">
        <f t="shared" si="49"/>
        <v/>
      </c>
      <c r="L133" s="179"/>
      <c r="M133" s="1">
        <f>SUMIF('💰BUDGET PLAN💰'!$B$161:$B$170,B133,'💰BUDGET PLAN💰'!$E$161:$E$170)</f>
        <v>0</v>
      </c>
      <c r="N133" s="1">
        <f>SUMIF('💰BUDGET PLAN💰'!$G$161:$G$170,'💸BUDGET REALIZED💸'!B133,'💰BUDGET PLAN💰'!$J$161:$J$170)</f>
        <v>0</v>
      </c>
      <c r="O133" s="1">
        <f>SUMIF('💰BUDGET PLAN💰'!$L$161:$L$170,'💸BUDGET REALIZED💸'!B133,'💰BUDGET PLAN💰'!$O$161:$O$170)</f>
        <v>0</v>
      </c>
    </row>
    <row r="134" ht="15.0" customHeight="1">
      <c r="A134" s="179"/>
      <c r="B134" s="127"/>
      <c r="C134" s="262"/>
      <c r="D134" s="263"/>
      <c r="E134" s="299">
        <f t="shared" si="45"/>
        <v>0</v>
      </c>
      <c r="F134" s="1"/>
      <c r="G134" s="279" t="str">
        <f t="shared" si="46"/>
        <v/>
      </c>
      <c r="H134" s="280" t="str">
        <f t="shared" si="47"/>
        <v/>
      </c>
      <c r="I134" s="281" t="str">
        <f t="shared" si="48"/>
        <v/>
      </c>
      <c r="J134" s="179"/>
      <c r="K134" s="179" t="str">
        <f t="shared" si="49"/>
        <v/>
      </c>
      <c r="L134" s="179"/>
      <c r="M134" s="1">
        <f>SUMIF('💰BUDGET PLAN💰'!$B$161:$B$170,B134,'💰BUDGET PLAN💰'!$E$161:$E$170)</f>
        <v>0</v>
      </c>
      <c r="N134" s="1">
        <f>SUMIF('💰BUDGET PLAN💰'!$G$161:$G$170,'💸BUDGET REALIZED💸'!B134,'💰BUDGET PLAN💰'!$J$161:$J$170)</f>
        <v>0</v>
      </c>
      <c r="O134" s="1">
        <f>SUMIF('💰BUDGET PLAN💰'!$L$161:$L$170,'💸BUDGET REALIZED💸'!B134,'💰BUDGET PLAN💰'!$O$161:$O$170)</f>
        <v>0</v>
      </c>
    </row>
    <row r="135" ht="15.0" customHeight="1">
      <c r="A135" s="179"/>
      <c r="B135" s="127"/>
      <c r="C135" s="262"/>
      <c r="D135" s="263"/>
      <c r="E135" s="299">
        <f t="shared" si="45"/>
        <v>0</v>
      </c>
      <c r="F135" s="1"/>
      <c r="G135" s="279" t="str">
        <f t="shared" si="46"/>
        <v/>
      </c>
      <c r="H135" s="280" t="str">
        <f t="shared" si="47"/>
        <v/>
      </c>
      <c r="I135" s="281"/>
      <c r="J135" s="179"/>
      <c r="K135" s="179" t="str">
        <f t="shared" si="49"/>
        <v/>
      </c>
      <c r="L135" s="179"/>
      <c r="M135" s="1">
        <f>SUMIF('💰BUDGET PLAN💰'!$B$161:$B$170,B135,'💰BUDGET PLAN💰'!$E$161:$E$170)</f>
        <v>0</v>
      </c>
      <c r="N135" s="1">
        <f>SUMIF('💰BUDGET PLAN💰'!$G$161:$G$170,'💸BUDGET REALIZED💸'!B135,'💰BUDGET PLAN💰'!$J$161:$J$170)</f>
        <v>0</v>
      </c>
      <c r="O135" s="1">
        <f>SUMIF('💰BUDGET PLAN💰'!$L$161:$L$170,'💸BUDGET REALIZED💸'!B135,'💰BUDGET PLAN💰'!$O$161:$O$170)</f>
        <v>0</v>
      </c>
    </row>
    <row r="136" ht="15.0" customHeight="1">
      <c r="A136" s="179"/>
      <c r="B136" s="127"/>
      <c r="C136" s="262"/>
      <c r="D136" s="263"/>
      <c r="E136" s="299">
        <f t="shared" si="45"/>
        <v>0</v>
      </c>
      <c r="F136" s="1"/>
      <c r="G136" s="279" t="str">
        <f t="shared" si="46"/>
        <v/>
      </c>
      <c r="H136" s="280" t="str">
        <f t="shared" si="47"/>
        <v/>
      </c>
      <c r="I136" s="281" t="str">
        <f t="shared" ref="I136:I139" si="50">IF(O136=0,"",E136/O136)</f>
        <v/>
      </c>
      <c r="J136" s="179"/>
      <c r="K136" s="179" t="str">
        <f t="shared" si="49"/>
        <v/>
      </c>
      <c r="L136" s="179"/>
      <c r="M136" s="1">
        <f>SUMIF('💰BUDGET PLAN💰'!$B$161:$B$170,B136,'💰BUDGET PLAN💰'!$E$161:$E$170)</f>
        <v>0</v>
      </c>
      <c r="N136" s="1">
        <f>SUMIF('💰BUDGET PLAN💰'!$G$161:$G$170,'💸BUDGET REALIZED💸'!B136,'💰BUDGET PLAN💰'!$J$161:$J$170)</f>
        <v>0</v>
      </c>
      <c r="O136" s="1">
        <f>SUMIF('💰BUDGET PLAN💰'!$L$161:$L$170,'💸BUDGET REALIZED💸'!B136,'💰BUDGET PLAN💰'!$O$161:$O$170)</f>
        <v>0</v>
      </c>
    </row>
    <row r="137" ht="15.0" customHeight="1">
      <c r="A137" s="179"/>
      <c r="B137" s="127"/>
      <c r="C137" s="262"/>
      <c r="D137" s="263"/>
      <c r="E137" s="299">
        <f t="shared" si="45"/>
        <v>0</v>
      </c>
      <c r="F137" s="1"/>
      <c r="G137" s="279" t="str">
        <f t="shared" si="46"/>
        <v/>
      </c>
      <c r="H137" s="280" t="str">
        <f t="shared" si="47"/>
        <v/>
      </c>
      <c r="I137" s="281" t="str">
        <f t="shared" si="50"/>
        <v/>
      </c>
      <c r="J137" s="179"/>
      <c r="K137" s="179" t="str">
        <f t="shared" si="49"/>
        <v/>
      </c>
      <c r="L137" s="179"/>
      <c r="M137" s="1">
        <f>SUMIF('💰BUDGET PLAN💰'!$B$161:$B$170,B137,'💰BUDGET PLAN💰'!$E$161:$E$170)</f>
        <v>0</v>
      </c>
      <c r="N137" s="1">
        <f>SUMIF('💰BUDGET PLAN💰'!$G$161:$G$170,'💸BUDGET REALIZED💸'!B137,'💰BUDGET PLAN💰'!$J$161:$J$170)</f>
        <v>0</v>
      </c>
      <c r="O137" s="1">
        <f>SUMIF('💰BUDGET PLAN💰'!$L$161:$L$170,'💸BUDGET REALIZED💸'!B137,'💰BUDGET PLAN💰'!$O$161:$O$170)</f>
        <v>0</v>
      </c>
    </row>
    <row r="138" ht="15.0" customHeight="1">
      <c r="A138" s="179"/>
      <c r="B138" s="127"/>
      <c r="C138" s="262"/>
      <c r="D138" s="263"/>
      <c r="E138" s="299">
        <f t="shared" si="45"/>
        <v>0</v>
      </c>
      <c r="F138" s="1"/>
      <c r="G138" s="279" t="str">
        <f t="shared" si="46"/>
        <v/>
      </c>
      <c r="H138" s="280" t="str">
        <f t="shared" si="47"/>
        <v/>
      </c>
      <c r="I138" s="281" t="str">
        <f t="shared" si="50"/>
        <v/>
      </c>
      <c r="J138" s="179"/>
      <c r="K138" s="179" t="str">
        <f t="shared" si="49"/>
        <v/>
      </c>
      <c r="L138" s="179"/>
      <c r="M138" s="1">
        <f>SUMIF('💰BUDGET PLAN💰'!$B$161:$B$170,B138,'💰BUDGET PLAN💰'!$E$161:$E$170)</f>
        <v>0</v>
      </c>
      <c r="N138" s="1">
        <f>SUMIF('💰BUDGET PLAN💰'!$G$161:$G$170,'💸BUDGET REALIZED💸'!B138,'💰BUDGET PLAN💰'!$J$161:$J$170)</f>
        <v>0</v>
      </c>
      <c r="O138" s="1">
        <f>SUMIF('💰BUDGET PLAN💰'!$L$161:$L$170,'💸BUDGET REALIZED💸'!B138,'💰BUDGET PLAN💰'!$O$161:$O$170)</f>
        <v>0</v>
      </c>
    </row>
    <row r="139" ht="15.0" customHeight="1">
      <c r="A139" s="179"/>
      <c r="B139" s="260" t="s">
        <v>181</v>
      </c>
      <c r="C139" s="87"/>
      <c r="D139" s="88"/>
      <c r="E139" s="273">
        <f>SUM(E130:E138)</f>
        <v>0</v>
      </c>
      <c r="F139" s="1"/>
      <c r="G139" s="274" t="str">
        <f t="shared" si="46"/>
        <v/>
      </c>
      <c r="H139" s="275" t="str">
        <f t="shared" si="47"/>
        <v/>
      </c>
      <c r="I139" s="276" t="str">
        <f t="shared" si="50"/>
        <v/>
      </c>
      <c r="J139" s="179"/>
      <c r="K139" s="277" t="str">
        <f t="shared" si="49"/>
        <v/>
      </c>
      <c r="L139" s="179"/>
      <c r="M139" s="244">
        <f>'💰BUDGET PLAN💰'!E171</f>
        <v>0</v>
      </c>
      <c r="N139" s="244">
        <f>'💰BUDGET PLAN💰'!J171</f>
        <v>0</v>
      </c>
      <c r="O139" s="244">
        <f>'💰BUDGET PLAN💰'!O171</f>
        <v>0</v>
      </c>
    </row>
    <row r="140" ht="15.0" customHeight="1">
      <c r="A140" s="179"/>
      <c r="B140" s="1"/>
      <c r="C140" s="244"/>
      <c r="D140" s="85"/>
      <c r="E140" s="1"/>
      <c r="F140" s="1"/>
      <c r="G140" s="1"/>
      <c r="H140" s="1"/>
      <c r="I140" s="1"/>
      <c r="J140" s="179"/>
      <c r="K140" s="179"/>
      <c r="L140" s="179"/>
      <c r="M140" s="1"/>
      <c r="N140" s="1"/>
      <c r="O140" s="1"/>
    </row>
  </sheetData>
  <mergeCells count="29">
    <mergeCell ref="B1:I1"/>
    <mergeCell ref="B3:D3"/>
    <mergeCell ref="B4:D4"/>
    <mergeCell ref="B5:D5"/>
    <mergeCell ref="B7:E7"/>
    <mergeCell ref="G7:I7"/>
    <mergeCell ref="B18:D18"/>
    <mergeCell ref="B27:D27"/>
    <mergeCell ref="B29:D29"/>
    <mergeCell ref="B31:E31"/>
    <mergeCell ref="G32:I32"/>
    <mergeCell ref="G49:I49"/>
    <mergeCell ref="B20:D20"/>
    <mergeCell ref="B21:D21"/>
    <mergeCell ref="B22:D22"/>
    <mergeCell ref="B23:D23"/>
    <mergeCell ref="B24:D24"/>
    <mergeCell ref="B25:D25"/>
    <mergeCell ref="B26:D26"/>
    <mergeCell ref="B127:D127"/>
    <mergeCell ref="G129:I129"/>
    <mergeCell ref="B139:D139"/>
    <mergeCell ref="B47:D47"/>
    <mergeCell ref="B78:D78"/>
    <mergeCell ref="G80:I80"/>
    <mergeCell ref="B100:D100"/>
    <mergeCell ref="G102:I102"/>
    <mergeCell ref="B115:D115"/>
    <mergeCell ref="G117:I11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4.14"/>
    <col customWidth="1" min="2" max="2" width="8.43"/>
    <col customWidth="1" min="3" max="3" width="8.57"/>
    <col customWidth="1" min="4" max="4" width="19.86"/>
    <col customWidth="1" min="5" max="5" width="20.86"/>
    <col customWidth="1" min="6" max="6" width="21.29"/>
    <col customWidth="1" min="7" max="7" width="16.29"/>
    <col customWidth="1" min="8" max="8" width="6.0"/>
    <col customWidth="1" min="9" max="9" width="14.71" outlineLevel="1"/>
    <col customWidth="1" min="10" max="10" width="55.86" outlineLevel="1"/>
    <col customWidth="1" min="11" max="11" width="19.71" outlineLevel="1"/>
    <col customWidth="1" min="12" max="12" width="18.71" outlineLevel="1"/>
    <col customWidth="1" min="13" max="13" width="20.0" outlineLevel="1"/>
    <col customWidth="1" min="14" max="14" width="13.29" outlineLevel="1"/>
    <col customWidth="1" min="15" max="15" width="17.57" outlineLevel="1"/>
    <col customWidth="1" min="16" max="16" width="25.0" outlineLevel="1"/>
    <col hidden="1" min="18" max="24" width="14.43" outlineLevel="1"/>
    <col customWidth="1" hidden="1" min="25" max="25" width="18.0" outlineLevel="1"/>
    <col collapsed="1" min="26" max="26" width="14.43"/>
    <col hidden="1" min="27" max="33" width="14.43" outlineLevel="1"/>
    <col customWidth="1" hidden="1" min="34" max="34" width="18.0" outlineLevel="1"/>
    <col collapsed="1" customWidth="1" min="35" max="35" width="18.0"/>
    <col customWidth="1" min="36" max="36" width="18.0"/>
  </cols>
  <sheetData>
    <row r="1">
      <c r="A1" s="300" t="str">
        <f>'TRACKING 💎MERCH💎'!A1</f>
        <v/>
      </c>
      <c r="B1" s="301"/>
      <c r="C1" s="301"/>
      <c r="D1" s="300"/>
      <c r="E1" s="300"/>
      <c r="F1" s="300"/>
      <c r="G1" s="300"/>
      <c r="H1" s="300"/>
      <c r="I1" s="302" t="s">
        <v>183</v>
      </c>
      <c r="P1" s="303"/>
      <c r="R1" s="302" t="s">
        <v>184</v>
      </c>
      <c r="Y1" s="303"/>
      <c r="AA1" s="302" t="s">
        <v>185</v>
      </c>
      <c r="AH1" s="303"/>
      <c r="AI1" s="303"/>
      <c r="AJ1" s="303"/>
    </row>
    <row r="2" ht="38.25" customHeight="1">
      <c r="A2" s="304"/>
      <c r="B2" s="304"/>
      <c r="C2" s="304"/>
      <c r="D2" s="304"/>
      <c r="E2" s="304"/>
      <c r="F2" s="304"/>
      <c r="G2" s="304"/>
      <c r="H2" s="305"/>
      <c r="I2" s="306" t="s">
        <v>186</v>
      </c>
      <c r="J2" s="3"/>
      <c r="K2" s="3"/>
      <c r="L2" s="3"/>
      <c r="M2" s="3"/>
      <c r="N2" s="3"/>
      <c r="O2" s="181"/>
      <c r="P2" s="307"/>
      <c r="R2" s="308" t="s">
        <v>187</v>
      </c>
      <c r="S2" s="3"/>
      <c r="T2" s="3"/>
      <c r="U2" s="3"/>
      <c r="V2" s="3"/>
      <c r="W2" s="3"/>
      <c r="X2" s="181"/>
      <c r="Y2" s="307"/>
      <c r="AA2" s="308" t="s">
        <v>187</v>
      </c>
      <c r="AB2" s="3"/>
      <c r="AC2" s="3"/>
      <c r="AD2" s="3"/>
      <c r="AE2" s="3"/>
      <c r="AF2" s="3"/>
      <c r="AG2" s="181"/>
      <c r="AH2" s="307"/>
      <c r="AI2" s="303"/>
      <c r="AJ2" s="303"/>
    </row>
    <row r="3" ht="41.25" customHeight="1">
      <c r="A3" s="304"/>
      <c r="B3" s="309" t="s">
        <v>188</v>
      </c>
      <c r="C3" s="44"/>
      <c r="D3" s="44"/>
      <c r="E3" s="44"/>
      <c r="F3" s="44"/>
      <c r="G3" s="47"/>
      <c r="H3" s="305"/>
      <c r="I3" s="310" t="s">
        <v>189</v>
      </c>
      <c r="J3" s="311" t="s">
        <v>190</v>
      </c>
      <c r="K3" s="312" t="s">
        <v>191</v>
      </c>
      <c r="L3" s="313" t="s">
        <v>192</v>
      </c>
      <c r="M3" s="314" t="s">
        <v>193</v>
      </c>
      <c r="N3" s="315" t="s">
        <v>194</v>
      </c>
      <c r="O3" s="315" t="s">
        <v>195</v>
      </c>
      <c r="P3" s="316" t="s">
        <v>196</v>
      </c>
      <c r="Q3" s="317" t="s">
        <v>197</v>
      </c>
      <c r="R3" s="310" t="s">
        <v>189</v>
      </c>
      <c r="S3" s="311" t="s">
        <v>190</v>
      </c>
      <c r="T3" s="312" t="s">
        <v>191</v>
      </c>
      <c r="U3" s="313" t="s">
        <v>192</v>
      </c>
      <c r="V3" s="314" t="s">
        <v>193</v>
      </c>
      <c r="W3" s="315" t="s">
        <v>194</v>
      </c>
      <c r="X3" s="315" t="s">
        <v>195</v>
      </c>
      <c r="Y3" s="316" t="s">
        <v>196</v>
      </c>
      <c r="Z3" s="318" t="s">
        <v>198</v>
      </c>
      <c r="AA3" s="310" t="s">
        <v>189</v>
      </c>
      <c r="AB3" s="311" t="s">
        <v>190</v>
      </c>
      <c r="AC3" s="312" t="s">
        <v>191</v>
      </c>
      <c r="AD3" s="313" t="s">
        <v>192</v>
      </c>
      <c r="AE3" s="314" t="s">
        <v>193</v>
      </c>
      <c r="AF3" s="315" t="s">
        <v>194</v>
      </c>
      <c r="AG3" s="315" t="s">
        <v>195</v>
      </c>
      <c r="AH3" s="316" t="s">
        <v>196</v>
      </c>
      <c r="AI3" s="317" t="s">
        <v>199</v>
      </c>
      <c r="AJ3" s="319"/>
    </row>
    <row r="4">
      <c r="A4" s="304"/>
      <c r="B4" s="320" t="s">
        <v>200</v>
      </c>
      <c r="C4" s="19"/>
      <c r="D4" s="321" t="s">
        <v>201</v>
      </c>
      <c r="E4" s="321" t="s">
        <v>202</v>
      </c>
      <c r="F4" s="321" t="s">
        <v>195</v>
      </c>
      <c r="G4" s="321" t="s">
        <v>203</v>
      </c>
      <c r="H4" s="305"/>
      <c r="I4" s="322"/>
      <c r="J4" s="323"/>
      <c r="K4" s="324"/>
      <c r="L4" s="325">
        <f t="shared" ref="L4:M4" si="1">SUM(L6:L305)</f>
        <v>130000</v>
      </c>
      <c r="M4" s="326">
        <f t="shared" si="1"/>
        <v>42000</v>
      </c>
      <c r="N4" s="322"/>
      <c r="O4" s="322"/>
      <c r="P4" s="327">
        <f>IF(SUM(L6:L1305)+SUM(M6:M1305)=0,0,SUM(L6:L1305)-SUM(M6:M1305))</f>
        <v>88000</v>
      </c>
      <c r="R4" s="322"/>
      <c r="S4" s="323"/>
      <c r="T4" s="324"/>
      <c r="U4" s="325">
        <f t="shared" ref="U4:V4" si="2">SUM(U6:U305)</f>
        <v>0</v>
      </c>
      <c r="V4" s="326">
        <f t="shared" si="2"/>
        <v>0</v>
      </c>
      <c r="W4" s="322"/>
      <c r="X4" s="322"/>
      <c r="Y4" s="327">
        <f>IF(SUM(U6:U1305)+SUM(V6:V1305)=0,0,SUM(U6:U1305)-SUM(V6:V1305))</f>
        <v>0</v>
      </c>
      <c r="AA4" s="322"/>
      <c r="AB4" s="323"/>
      <c r="AC4" s="324"/>
      <c r="AD4" s="325">
        <f t="shared" ref="AD4:AE4" si="3">SUM(AD6:AD305)</f>
        <v>0</v>
      </c>
      <c r="AE4" s="326">
        <f t="shared" si="3"/>
        <v>0</v>
      </c>
      <c r="AF4" s="322"/>
      <c r="AG4" s="322"/>
      <c r="AH4" s="327">
        <f>IF(SUM(AD6:AD1305)+SUM(AE6:AE1305)=0,0,SUM(AD6:AD1305)-SUM(AE6:AE1305))</f>
        <v>0</v>
      </c>
    </row>
    <row r="5">
      <c r="A5" s="304"/>
      <c r="B5" s="328"/>
      <c r="C5" s="329"/>
      <c r="D5" s="330"/>
      <c r="E5" s="330"/>
      <c r="F5" s="331">
        <v>2.4E7</v>
      </c>
      <c r="G5" s="330"/>
      <c r="H5" s="305"/>
      <c r="I5" s="332"/>
      <c r="J5" s="333"/>
      <c r="K5" s="334"/>
      <c r="L5" s="335"/>
      <c r="M5" s="335"/>
      <c r="N5" s="332"/>
      <c r="O5" s="332"/>
      <c r="P5" s="303"/>
      <c r="R5" s="332"/>
      <c r="S5" s="333"/>
      <c r="T5" s="334"/>
      <c r="U5" s="335"/>
      <c r="V5" s="335"/>
      <c r="W5" s="332"/>
      <c r="X5" s="332"/>
      <c r="Y5" s="303"/>
      <c r="AA5" s="332"/>
      <c r="AB5" s="333"/>
      <c r="AC5" s="334"/>
      <c r="AD5" s="335"/>
      <c r="AE5" s="335"/>
      <c r="AF5" s="332"/>
      <c r="AG5" s="332"/>
      <c r="AH5" s="303"/>
    </row>
    <row r="6">
      <c r="A6" s="304"/>
      <c r="B6" s="336" t="s">
        <v>197</v>
      </c>
      <c r="C6" s="337"/>
      <c r="D6" s="338">
        <f>sum(L6:L49)</f>
        <v>130000</v>
      </c>
      <c r="E6" s="339">
        <f>sum(M6:M305)</f>
        <v>42000</v>
      </c>
      <c r="F6" s="340">
        <f>IF(D6+E6=0," ",F5+D6-E6)</f>
        <v>24088000</v>
      </c>
      <c r="G6" s="341">
        <f>(F6-F5)/F5</f>
        <v>0.003666666667</v>
      </c>
      <c r="H6" s="305"/>
      <c r="I6" s="342">
        <v>46194.0</v>
      </c>
      <c r="J6" s="343" t="s">
        <v>204</v>
      </c>
      <c r="K6" s="344"/>
      <c r="L6" s="345">
        <v>100000.0</v>
      </c>
      <c r="M6" s="346"/>
      <c r="N6" s="347"/>
      <c r="O6" s="348">
        <f>IF(L6+M6=0," ",O4+L6-M6)</f>
        <v>100000</v>
      </c>
      <c r="P6" s="307"/>
      <c r="R6" s="349"/>
      <c r="S6" s="343"/>
      <c r="T6" s="344"/>
      <c r="U6" s="345"/>
      <c r="V6" s="346"/>
      <c r="W6" s="347"/>
      <c r="X6" s="348" t="str">
        <f>IF(U6+V6=0," ",X4+U6-V6)</f>
        <v> </v>
      </c>
      <c r="AA6" s="349"/>
      <c r="AB6" s="343"/>
      <c r="AC6" s="344"/>
      <c r="AD6" s="345"/>
      <c r="AE6" s="346"/>
      <c r="AF6" s="347"/>
      <c r="AG6" s="348" t="str">
        <f>IF(AD6+AE6=0," ",AG4+AD6-AE6)</f>
        <v> </v>
      </c>
    </row>
    <row r="7">
      <c r="A7" s="304"/>
      <c r="B7" s="350"/>
      <c r="C7" s="337"/>
      <c r="D7" s="351"/>
      <c r="E7" s="350"/>
      <c r="F7" s="352"/>
      <c r="G7" s="353"/>
      <c r="H7" s="305"/>
      <c r="I7" s="349"/>
      <c r="J7" s="343"/>
      <c r="K7" s="343"/>
      <c r="L7" s="345"/>
      <c r="M7" s="346">
        <v>2000.0</v>
      </c>
      <c r="N7" s="347"/>
      <c r="O7" s="348">
        <f t="shared" ref="O7:O305" si="4">IF(L7+M7=0," ",O6+L7-M7)</f>
        <v>98000</v>
      </c>
      <c r="P7" s="354" t="str">
        <f>P13</f>
        <v/>
      </c>
      <c r="R7" s="349"/>
      <c r="S7" s="343"/>
      <c r="T7" s="343"/>
      <c r="U7" s="345"/>
      <c r="V7" s="346"/>
      <c r="W7" s="347"/>
      <c r="X7" s="348" t="str">
        <f t="shared" ref="X7:X305" si="5">IF(U7+V7=0," ",X6+U7-V7)</f>
        <v> </v>
      </c>
      <c r="AA7" s="349"/>
      <c r="AB7" s="343"/>
      <c r="AC7" s="343"/>
      <c r="AD7" s="345"/>
      <c r="AE7" s="346"/>
      <c r="AF7" s="347"/>
      <c r="AG7" s="348" t="str">
        <f t="shared" ref="AG7:AG305" si="6">IF(AD7+AE7=0," ",AG6+AD7-AE7)</f>
        <v> </v>
      </c>
    </row>
    <row r="8">
      <c r="A8" s="304"/>
      <c r="B8" s="350"/>
      <c r="C8" s="337"/>
      <c r="D8" s="351"/>
      <c r="E8" s="350"/>
      <c r="F8" s="352"/>
      <c r="G8" s="353"/>
      <c r="H8" s="305"/>
      <c r="I8" s="349"/>
      <c r="J8" s="343"/>
      <c r="K8" s="343"/>
      <c r="L8" s="345">
        <v>30000.0</v>
      </c>
      <c r="M8" s="346"/>
      <c r="N8" s="347"/>
      <c r="O8" s="348">
        <f t="shared" si="4"/>
        <v>128000</v>
      </c>
      <c r="P8" s="307"/>
      <c r="R8" s="349"/>
      <c r="S8" s="343"/>
      <c r="T8" s="343"/>
      <c r="U8" s="345"/>
      <c r="V8" s="346"/>
      <c r="W8" s="347"/>
      <c r="X8" s="348" t="str">
        <f t="shared" si="5"/>
        <v> </v>
      </c>
      <c r="AA8" s="349"/>
      <c r="AB8" s="343"/>
      <c r="AC8" s="343"/>
      <c r="AD8" s="345"/>
      <c r="AE8" s="346"/>
      <c r="AF8" s="347"/>
      <c r="AG8" s="348" t="str">
        <f t="shared" si="6"/>
        <v> </v>
      </c>
    </row>
    <row r="9">
      <c r="A9" s="304"/>
      <c r="B9" s="355"/>
      <c r="C9" s="356"/>
      <c r="D9" s="357"/>
      <c r="E9" s="355"/>
      <c r="F9" s="330"/>
      <c r="G9" s="329"/>
      <c r="H9" s="305"/>
      <c r="I9" s="349"/>
      <c r="J9" s="343"/>
      <c r="K9" s="343"/>
      <c r="L9" s="345"/>
      <c r="M9" s="346">
        <v>40000.0</v>
      </c>
      <c r="N9" s="347"/>
      <c r="O9" s="348">
        <f t="shared" si="4"/>
        <v>88000</v>
      </c>
      <c r="P9" s="307"/>
      <c r="R9" s="349"/>
      <c r="S9" s="343"/>
      <c r="T9" s="343"/>
      <c r="U9" s="345"/>
      <c r="V9" s="346"/>
      <c r="W9" s="347"/>
      <c r="X9" s="348" t="str">
        <f t="shared" si="5"/>
        <v> </v>
      </c>
      <c r="AA9" s="349"/>
      <c r="AB9" s="343"/>
      <c r="AC9" s="343"/>
      <c r="AD9" s="345"/>
      <c r="AE9" s="346"/>
      <c r="AF9" s="347"/>
      <c r="AG9" s="348" t="str">
        <f t="shared" si="6"/>
        <v> </v>
      </c>
    </row>
    <row r="10">
      <c r="A10" s="304"/>
      <c r="B10" s="358" t="s">
        <v>198</v>
      </c>
      <c r="C10" s="359"/>
      <c r="D10" s="338">
        <f t="shared" ref="D10:E10" si="7">sum(U4)</f>
        <v>0</v>
      </c>
      <c r="E10" s="339">
        <f t="shared" si="7"/>
        <v>0</v>
      </c>
      <c r="F10" s="340" t="str">
        <f>IF(D10+E10=0," ",F5+D10-E10)</f>
        <v> </v>
      </c>
      <c r="G10" s="341" t="str">
        <f>(F10-F5)/F5</f>
        <v>#VALUE!</v>
      </c>
      <c r="H10" s="305"/>
      <c r="I10" s="349"/>
      <c r="J10" s="343"/>
      <c r="K10" s="343"/>
      <c r="L10" s="345"/>
      <c r="M10" s="360"/>
      <c r="N10" s="347"/>
      <c r="O10" s="348" t="str">
        <f t="shared" si="4"/>
        <v> </v>
      </c>
      <c r="P10" s="307"/>
      <c r="R10" s="349"/>
      <c r="S10" s="343"/>
      <c r="T10" s="343"/>
      <c r="U10" s="345"/>
      <c r="V10" s="360"/>
      <c r="W10" s="347"/>
      <c r="X10" s="348" t="str">
        <f t="shared" si="5"/>
        <v> </v>
      </c>
      <c r="AA10" s="349"/>
      <c r="AB10" s="343"/>
      <c r="AC10" s="343"/>
      <c r="AD10" s="345"/>
      <c r="AE10" s="360"/>
      <c r="AF10" s="347"/>
      <c r="AG10" s="348" t="str">
        <f t="shared" si="6"/>
        <v> </v>
      </c>
    </row>
    <row r="11">
      <c r="A11" s="304"/>
      <c r="B11" s="350"/>
      <c r="C11" s="337"/>
      <c r="D11" s="351"/>
      <c r="E11" s="350"/>
      <c r="F11" s="352"/>
      <c r="G11" s="353"/>
      <c r="H11" s="305"/>
      <c r="I11" s="349"/>
      <c r="J11" s="343"/>
      <c r="K11" s="343"/>
      <c r="L11" s="345"/>
      <c r="M11" s="360"/>
      <c r="N11" s="347"/>
      <c r="O11" s="348" t="str">
        <f t="shared" si="4"/>
        <v> </v>
      </c>
      <c r="P11" s="307"/>
      <c r="R11" s="349"/>
      <c r="S11" s="343"/>
      <c r="T11" s="343"/>
      <c r="U11" s="345"/>
      <c r="V11" s="360"/>
      <c r="W11" s="347"/>
      <c r="X11" s="348" t="str">
        <f t="shared" si="5"/>
        <v> </v>
      </c>
      <c r="AA11" s="349"/>
      <c r="AB11" s="343"/>
      <c r="AC11" s="343"/>
      <c r="AD11" s="345"/>
      <c r="AE11" s="360"/>
      <c r="AF11" s="347"/>
      <c r="AG11" s="348" t="str">
        <f t="shared" si="6"/>
        <v> </v>
      </c>
    </row>
    <row r="12">
      <c r="A12" s="304"/>
      <c r="B12" s="350"/>
      <c r="C12" s="337"/>
      <c r="D12" s="351"/>
      <c r="E12" s="350"/>
      <c r="F12" s="352"/>
      <c r="G12" s="353"/>
      <c r="H12" s="305"/>
      <c r="I12" s="349"/>
      <c r="J12" s="343"/>
      <c r="K12" s="343"/>
      <c r="L12" s="345"/>
      <c r="M12" s="360"/>
      <c r="N12" s="347"/>
      <c r="O12" s="348" t="str">
        <f t="shared" si="4"/>
        <v> </v>
      </c>
      <c r="P12" s="307"/>
      <c r="R12" s="349"/>
      <c r="S12" s="343"/>
      <c r="T12" s="343"/>
      <c r="U12" s="345"/>
      <c r="V12" s="360"/>
      <c r="W12" s="347"/>
      <c r="X12" s="348" t="str">
        <f t="shared" si="5"/>
        <v> </v>
      </c>
      <c r="AA12" s="349"/>
      <c r="AB12" s="343"/>
      <c r="AC12" s="343"/>
      <c r="AD12" s="345"/>
      <c r="AE12" s="360"/>
      <c r="AF12" s="347"/>
      <c r="AG12" s="348" t="str">
        <f t="shared" si="6"/>
        <v> </v>
      </c>
    </row>
    <row r="13">
      <c r="A13" s="304"/>
      <c r="B13" s="355"/>
      <c r="C13" s="356"/>
      <c r="D13" s="357"/>
      <c r="E13" s="355"/>
      <c r="F13" s="330"/>
      <c r="G13" s="329"/>
      <c r="H13" s="305"/>
      <c r="I13" s="349"/>
      <c r="J13" s="343"/>
      <c r="K13" s="343"/>
      <c r="L13" s="345"/>
      <c r="M13" s="361"/>
      <c r="N13" s="347"/>
      <c r="O13" s="348" t="str">
        <f t="shared" si="4"/>
        <v> </v>
      </c>
      <c r="P13" s="307"/>
      <c r="R13" s="349"/>
      <c r="S13" s="343"/>
      <c r="T13" s="343"/>
      <c r="U13" s="345"/>
      <c r="V13" s="361"/>
      <c r="W13" s="347"/>
      <c r="X13" s="348" t="str">
        <f t="shared" si="5"/>
        <v> </v>
      </c>
      <c r="AA13" s="349"/>
      <c r="AB13" s="343"/>
      <c r="AC13" s="343"/>
      <c r="AD13" s="345"/>
      <c r="AE13" s="361"/>
      <c r="AF13" s="347"/>
      <c r="AG13" s="348" t="str">
        <f t="shared" si="6"/>
        <v> </v>
      </c>
    </row>
    <row r="14">
      <c r="A14" s="304"/>
      <c r="B14" s="358" t="s">
        <v>199</v>
      </c>
      <c r="C14" s="359"/>
      <c r="D14" s="338">
        <f>sum(L14:L57)</f>
        <v>0</v>
      </c>
      <c r="E14" s="339">
        <f>sum(M14:M313)</f>
        <v>0</v>
      </c>
      <c r="F14" s="340" t="str">
        <f>IF(D14+E14=0," ",F13+D14-E14)</f>
        <v> </v>
      </c>
      <c r="G14" s="341" t="str">
        <f>(F14-F5)/F5</f>
        <v>#VALUE!</v>
      </c>
      <c r="H14" s="362"/>
      <c r="I14" s="349"/>
      <c r="J14" s="343"/>
      <c r="K14" s="343"/>
      <c r="L14" s="345"/>
      <c r="M14" s="346"/>
      <c r="N14" s="347"/>
      <c r="O14" s="348" t="str">
        <f t="shared" si="4"/>
        <v> </v>
      </c>
      <c r="P14" s="307"/>
      <c r="R14" s="349"/>
      <c r="S14" s="343"/>
      <c r="T14" s="343"/>
      <c r="U14" s="345"/>
      <c r="V14" s="346"/>
      <c r="W14" s="347"/>
      <c r="X14" s="348" t="str">
        <f t="shared" si="5"/>
        <v> </v>
      </c>
      <c r="AA14" s="349"/>
      <c r="AB14" s="343"/>
      <c r="AC14" s="343"/>
      <c r="AD14" s="345"/>
      <c r="AE14" s="346"/>
      <c r="AF14" s="347"/>
      <c r="AG14" s="348" t="str">
        <f t="shared" si="6"/>
        <v> </v>
      </c>
    </row>
    <row r="15">
      <c r="A15" s="304"/>
      <c r="B15" s="350"/>
      <c r="C15" s="337"/>
      <c r="D15" s="351"/>
      <c r="E15" s="350"/>
      <c r="F15" s="352"/>
      <c r="G15" s="353"/>
      <c r="H15" s="362"/>
      <c r="I15" s="349"/>
      <c r="J15" s="343"/>
      <c r="K15" s="343"/>
      <c r="L15" s="345"/>
      <c r="M15" s="346"/>
      <c r="N15" s="347"/>
      <c r="O15" s="348" t="str">
        <f t="shared" si="4"/>
        <v> </v>
      </c>
      <c r="P15" s="307"/>
      <c r="R15" s="349"/>
      <c r="S15" s="343"/>
      <c r="T15" s="343"/>
      <c r="U15" s="345"/>
      <c r="V15" s="346"/>
      <c r="W15" s="347"/>
      <c r="X15" s="348" t="str">
        <f t="shared" si="5"/>
        <v> </v>
      </c>
      <c r="AA15" s="349"/>
      <c r="AB15" s="343"/>
      <c r="AC15" s="343"/>
      <c r="AD15" s="345"/>
      <c r="AE15" s="346"/>
      <c r="AF15" s="347"/>
      <c r="AG15" s="348" t="str">
        <f t="shared" si="6"/>
        <v> </v>
      </c>
    </row>
    <row r="16">
      <c r="A16" s="304"/>
      <c r="B16" s="350"/>
      <c r="C16" s="337"/>
      <c r="D16" s="351"/>
      <c r="E16" s="350"/>
      <c r="F16" s="352"/>
      <c r="G16" s="353"/>
      <c r="H16" s="362"/>
      <c r="I16" s="349"/>
      <c r="J16" s="343"/>
      <c r="K16" s="343"/>
      <c r="L16" s="345"/>
      <c r="M16" s="346"/>
      <c r="N16" s="347"/>
      <c r="O16" s="348" t="str">
        <f t="shared" si="4"/>
        <v> </v>
      </c>
      <c r="P16" s="307"/>
      <c r="R16" s="349"/>
      <c r="S16" s="343"/>
      <c r="T16" s="343"/>
      <c r="U16" s="345"/>
      <c r="V16" s="346"/>
      <c r="W16" s="347"/>
      <c r="X16" s="348" t="str">
        <f t="shared" si="5"/>
        <v> </v>
      </c>
      <c r="AA16" s="349"/>
      <c r="AB16" s="343"/>
      <c r="AC16" s="343"/>
      <c r="AD16" s="345"/>
      <c r="AE16" s="346"/>
      <c r="AF16" s="347"/>
      <c r="AG16" s="348" t="str">
        <f t="shared" si="6"/>
        <v> </v>
      </c>
    </row>
    <row r="17">
      <c r="A17" s="304"/>
      <c r="B17" s="355"/>
      <c r="C17" s="356"/>
      <c r="D17" s="357"/>
      <c r="E17" s="355"/>
      <c r="F17" s="330"/>
      <c r="G17" s="329"/>
      <c r="H17" s="362"/>
      <c r="I17" s="349"/>
      <c r="J17" s="343"/>
      <c r="K17" s="343"/>
      <c r="L17" s="345"/>
      <c r="M17" s="346"/>
      <c r="N17" s="347"/>
      <c r="O17" s="348" t="str">
        <f t="shared" si="4"/>
        <v> </v>
      </c>
      <c r="P17" s="307"/>
      <c r="R17" s="349"/>
      <c r="S17" s="343"/>
      <c r="T17" s="343"/>
      <c r="U17" s="345"/>
      <c r="V17" s="346"/>
      <c r="W17" s="347"/>
      <c r="X17" s="348" t="str">
        <f t="shared" si="5"/>
        <v> </v>
      </c>
      <c r="AA17" s="349"/>
      <c r="AB17" s="343"/>
      <c r="AC17" s="343"/>
      <c r="AD17" s="345"/>
      <c r="AE17" s="346"/>
      <c r="AF17" s="347"/>
      <c r="AG17" s="348" t="str">
        <f t="shared" si="6"/>
        <v> </v>
      </c>
    </row>
    <row r="18">
      <c r="A18" s="304"/>
      <c r="B18" s="358" t="s">
        <v>205</v>
      </c>
      <c r="C18" s="359"/>
      <c r="D18" s="338">
        <f>sum(L18:L61)</f>
        <v>0</v>
      </c>
      <c r="E18" s="339">
        <f>sum(M18:M317)</f>
        <v>0</v>
      </c>
      <c r="F18" s="340" t="str">
        <f>IF(D18+E18=0," ",F17+D18-E18)</f>
        <v> </v>
      </c>
      <c r="G18" s="341" t="str">
        <f>(F18-F5)/F5</f>
        <v>#VALUE!</v>
      </c>
      <c r="H18" s="362"/>
      <c r="I18" s="349"/>
      <c r="J18" s="343"/>
      <c r="K18" s="343"/>
      <c r="L18" s="345"/>
      <c r="M18" s="345"/>
      <c r="N18" s="347"/>
      <c r="O18" s="348" t="str">
        <f t="shared" si="4"/>
        <v> </v>
      </c>
      <c r="P18" s="307"/>
      <c r="R18" s="349"/>
      <c r="S18" s="343"/>
      <c r="T18" s="343"/>
      <c r="U18" s="345"/>
      <c r="V18" s="345"/>
      <c r="W18" s="347"/>
      <c r="X18" s="348" t="str">
        <f t="shared" si="5"/>
        <v> </v>
      </c>
      <c r="AA18" s="349"/>
      <c r="AB18" s="343"/>
      <c r="AC18" s="343"/>
      <c r="AD18" s="345"/>
      <c r="AE18" s="345"/>
      <c r="AF18" s="347"/>
      <c r="AG18" s="348" t="str">
        <f t="shared" si="6"/>
        <v> </v>
      </c>
    </row>
    <row r="19">
      <c r="A19" s="304"/>
      <c r="B19" s="350"/>
      <c r="C19" s="337"/>
      <c r="D19" s="351"/>
      <c r="E19" s="350"/>
      <c r="F19" s="352"/>
      <c r="G19" s="353"/>
      <c r="H19" s="362"/>
      <c r="I19" s="349"/>
      <c r="J19" s="343"/>
      <c r="K19" s="343"/>
      <c r="L19" s="345"/>
      <c r="M19" s="345"/>
      <c r="N19" s="347"/>
      <c r="O19" s="348" t="str">
        <f t="shared" si="4"/>
        <v> </v>
      </c>
      <c r="P19" s="307"/>
      <c r="R19" s="349"/>
      <c r="S19" s="343"/>
      <c r="T19" s="343"/>
      <c r="U19" s="345"/>
      <c r="V19" s="345"/>
      <c r="W19" s="347"/>
      <c r="X19" s="348" t="str">
        <f t="shared" si="5"/>
        <v> </v>
      </c>
      <c r="AA19" s="349"/>
      <c r="AB19" s="343"/>
      <c r="AC19" s="343"/>
      <c r="AD19" s="345"/>
      <c r="AE19" s="345"/>
      <c r="AF19" s="347"/>
      <c r="AG19" s="348" t="str">
        <f t="shared" si="6"/>
        <v> </v>
      </c>
    </row>
    <row r="20">
      <c r="A20" s="304"/>
      <c r="B20" s="350"/>
      <c r="C20" s="337"/>
      <c r="D20" s="351"/>
      <c r="E20" s="350"/>
      <c r="F20" s="352"/>
      <c r="G20" s="353"/>
      <c r="H20" s="362"/>
      <c r="I20" s="349"/>
      <c r="J20" s="343"/>
      <c r="K20" s="343"/>
      <c r="L20" s="345"/>
      <c r="M20" s="345"/>
      <c r="N20" s="347"/>
      <c r="O20" s="348" t="str">
        <f t="shared" si="4"/>
        <v> </v>
      </c>
      <c r="P20" s="307"/>
      <c r="R20" s="349"/>
      <c r="S20" s="343"/>
      <c r="T20" s="343"/>
      <c r="U20" s="345"/>
      <c r="V20" s="345"/>
      <c r="W20" s="347"/>
      <c r="X20" s="348" t="str">
        <f t="shared" si="5"/>
        <v> </v>
      </c>
      <c r="AA20" s="349"/>
      <c r="AB20" s="343"/>
      <c r="AC20" s="343"/>
      <c r="AD20" s="345"/>
      <c r="AE20" s="345"/>
      <c r="AF20" s="347"/>
      <c r="AG20" s="348" t="str">
        <f t="shared" si="6"/>
        <v> </v>
      </c>
    </row>
    <row r="21">
      <c r="A21" s="304"/>
      <c r="B21" s="355"/>
      <c r="C21" s="356"/>
      <c r="D21" s="357"/>
      <c r="E21" s="355"/>
      <c r="F21" s="330"/>
      <c r="G21" s="329"/>
      <c r="H21" s="362"/>
      <c r="I21" s="349"/>
      <c r="J21" s="343"/>
      <c r="K21" s="343"/>
      <c r="L21" s="345"/>
      <c r="M21" s="345"/>
      <c r="N21" s="347"/>
      <c r="O21" s="348" t="str">
        <f t="shared" si="4"/>
        <v> </v>
      </c>
      <c r="P21" s="307"/>
      <c r="R21" s="349"/>
      <c r="S21" s="343"/>
      <c r="T21" s="343"/>
      <c r="U21" s="345"/>
      <c r="V21" s="345"/>
      <c r="W21" s="347"/>
      <c r="X21" s="348" t="str">
        <f t="shared" si="5"/>
        <v> </v>
      </c>
      <c r="AA21" s="349"/>
      <c r="AB21" s="343"/>
      <c r="AC21" s="343"/>
      <c r="AD21" s="345"/>
      <c r="AE21" s="345"/>
      <c r="AF21" s="347"/>
      <c r="AG21" s="348" t="str">
        <f t="shared" si="6"/>
        <v> </v>
      </c>
    </row>
    <row r="22">
      <c r="A22" s="305"/>
      <c r="B22" s="363" t="s">
        <v>7</v>
      </c>
      <c r="C22" s="364"/>
      <c r="D22" s="364"/>
      <c r="E22" s="329"/>
      <c r="F22" s="365"/>
      <c r="G22" s="366">
        <f>IFERROR(AVERAGE(G7:G21),0)</f>
        <v>0</v>
      </c>
      <c r="H22" s="305"/>
      <c r="I22" s="349"/>
      <c r="J22" s="343"/>
      <c r="K22" s="343"/>
      <c r="L22" s="345"/>
      <c r="M22" s="345"/>
      <c r="N22" s="347"/>
      <c r="O22" s="348" t="str">
        <f t="shared" si="4"/>
        <v> </v>
      </c>
      <c r="P22" s="307"/>
      <c r="R22" s="349"/>
      <c r="S22" s="343"/>
      <c r="T22" s="343"/>
      <c r="U22" s="345"/>
      <c r="V22" s="345"/>
      <c r="W22" s="347"/>
      <c r="X22" s="348" t="str">
        <f t="shared" si="5"/>
        <v> </v>
      </c>
      <c r="AA22" s="349"/>
      <c r="AB22" s="343"/>
      <c r="AC22" s="343"/>
      <c r="AD22" s="345"/>
      <c r="AE22" s="345"/>
      <c r="AF22" s="347"/>
      <c r="AG22" s="348" t="str">
        <f t="shared" si="6"/>
        <v> </v>
      </c>
    </row>
    <row r="23" ht="15.75" customHeight="1">
      <c r="A23" s="305"/>
      <c r="B23" s="301"/>
      <c r="C23" s="301"/>
      <c r="D23" s="300"/>
      <c r="E23" s="300"/>
      <c r="F23" s="300"/>
      <c r="G23" s="300"/>
      <c r="H23" s="305"/>
      <c r="I23" s="349"/>
      <c r="J23" s="343"/>
      <c r="K23" s="343"/>
      <c r="L23" s="345"/>
      <c r="M23" s="345"/>
      <c r="N23" s="347"/>
      <c r="O23" s="348" t="str">
        <f t="shared" si="4"/>
        <v> </v>
      </c>
      <c r="P23" s="307"/>
      <c r="R23" s="349"/>
      <c r="S23" s="343"/>
      <c r="T23" s="343"/>
      <c r="U23" s="345"/>
      <c r="V23" s="345"/>
      <c r="W23" s="347"/>
      <c r="X23" s="348" t="str">
        <f t="shared" si="5"/>
        <v> </v>
      </c>
      <c r="AA23" s="349"/>
      <c r="AB23" s="343"/>
      <c r="AC23" s="343"/>
      <c r="AD23" s="345"/>
      <c r="AE23" s="345"/>
      <c r="AF23" s="347"/>
      <c r="AG23" s="348" t="str">
        <f t="shared" si="6"/>
        <v> </v>
      </c>
    </row>
    <row r="24" ht="15.75" customHeight="1">
      <c r="A24" s="305"/>
      <c r="B24" s="301"/>
      <c r="C24" s="301"/>
      <c r="D24" s="300"/>
      <c r="E24" s="300"/>
      <c r="F24" s="300"/>
      <c r="G24" s="300"/>
      <c r="H24" s="305"/>
      <c r="I24" s="349"/>
      <c r="J24" s="343"/>
      <c r="K24" s="343"/>
      <c r="L24" s="345"/>
      <c r="M24" s="360"/>
      <c r="N24" s="347"/>
      <c r="O24" s="348" t="str">
        <f t="shared" si="4"/>
        <v> </v>
      </c>
      <c r="P24" s="307"/>
      <c r="R24" s="349"/>
      <c r="S24" s="343"/>
      <c r="T24" s="343"/>
      <c r="U24" s="345"/>
      <c r="V24" s="360"/>
      <c r="W24" s="347"/>
      <c r="X24" s="348" t="str">
        <f t="shared" si="5"/>
        <v> </v>
      </c>
      <c r="AA24" s="349"/>
      <c r="AB24" s="343"/>
      <c r="AC24" s="343"/>
      <c r="AD24" s="345"/>
      <c r="AE24" s="360"/>
      <c r="AF24" s="347"/>
      <c r="AG24" s="348" t="str">
        <f t="shared" si="6"/>
        <v> </v>
      </c>
    </row>
    <row r="25" ht="15.75" customHeight="1">
      <c r="A25" s="305"/>
      <c r="B25" s="301"/>
      <c r="C25" s="301"/>
      <c r="D25" s="300"/>
      <c r="E25" s="300"/>
      <c r="F25" s="300"/>
      <c r="G25" s="300"/>
      <c r="H25" s="305"/>
      <c r="I25" s="349"/>
      <c r="J25" s="343"/>
      <c r="K25" s="343"/>
      <c r="L25" s="345"/>
      <c r="M25" s="346"/>
      <c r="N25" s="347"/>
      <c r="O25" s="348" t="str">
        <f t="shared" si="4"/>
        <v> </v>
      </c>
      <c r="P25" s="307"/>
      <c r="R25" s="349"/>
      <c r="S25" s="343"/>
      <c r="T25" s="343"/>
      <c r="U25" s="345"/>
      <c r="V25" s="346"/>
      <c r="W25" s="347"/>
      <c r="X25" s="348" t="str">
        <f t="shared" si="5"/>
        <v> </v>
      </c>
      <c r="AA25" s="349"/>
      <c r="AB25" s="343"/>
      <c r="AC25" s="343"/>
      <c r="AD25" s="345"/>
      <c r="AE25" s="346"/>
      <c r="AF25" s="347"/>
      <c r="AG25" s="348" t="str">
        <f t="shared" si="6"/>
        <v> </v>
      </c>
    </row>
    <row r="26" ht="15.75" customHeight="1">
      <c r="A26" s="305"/>
      <c r="B26" s="301"/>
      <c r="C26" s="301"/>
      <c r="D26" s="300"/>
      <c r="E26" s="300"/>
      <c r="F26" s="300"/>
      <c r="G26" s="300"/>
      <c r="H26" s="305"/>
      <c r="I26" s="349"/>
      <c r="J26" s="343"/>
      <c r="K26" s="343"/>
      <c r="L26" s="346"/>
      <c r="M26" s="346"/>
      <c r="N26" s="347"/>
      <c r="O26" s="348" t="str">
        <f t="shared" si="4"/>
        <v> </v>
      </c>
      <c r="P26" s="307"/>
      <c r="R26" s="349"/>
      <c r="S26" s="343"/>
      <c r="T26" s="343"/>
      <c r="U26" s="346"/>
      <c r="V26" s="346"/>
      <c r="W26" s="347"/>
      <c r="X26" s="348" t="str">
        <f t="shared" si="5"/>
        <v> </v>
      </c>
      <c r="AA26" s="349"/>
      <c r="AB26" s="343"/>
      <c r="AC26" s="343"/>
      <c r="AD26" s="346"/>
      <c r="AE26" s="346"/>
      <c r="AF26" s="347"/>
      <c r="AG26" s="348" t="str">
        <f t="shared" si="6"/>
        <v> </v>
      </c>
    </row>
    <row r="27" ht="15.75" customHeight="1">
      <c r="A27" s="305"/>
      <c r="B27" s="301"/>
      <c r="C27" s="301"/>
      <c r="D27" s="300"/>
      <c r="E27" s="300"/>
      <c r="F27" s="300"/>
      <c r="G27" s="300"/>
      <c r="H27" s="305"/>
      <c r="I27" s="349"/>
      <c r="J27" s="343"/>
      <c r="K27" s="343"/>
      <c r="L27" s="346"/>
      <c r="M27" s="346"/>
      <c r="N27" s="347"/>
      <c r="O27" s="348" t="str">
        <f t="shared" si="4"/>
        <v> </v>
      </c>
      <c r="P27" s="307"/>
      <c r="R27" s="349"/>
      <c r="S27" s="343"/>
      <c r="T27" s="343"/>
      <c r="U27" s="346"/>
      <c r="V27" s="346"/>
      <c r="W27" s="347"/>
      <c r="X27" s="348" t="str">
        <f t="shared" si="5"/>
        <v> </v>
      </c>
      <c r="AA27" s="349"/>
      <c r="AB27" s="343"/>
      <c r="AC27" s="343"/>
      <c r="AD27" s="346"/>
      <c r="AE27" s="346"/>
      <c r="AF27" s="347"/>
      <c r="AG27" s="348" t="str">
        <f t="shared" si="6"/>
        <v> </v>
      </c>
    </row>
    <row r="28" ht="15.75" customHeight="1">
      <c r="A28" s="305"/>
      <c r="B28" s="301"/>
      <c r="C28" s="301"/>
      <c r="D28" s="300"/>
      <c r="E28" s="300"/>
      <c r="F28" s="300"/>
      <c r="G28" s="300"/>
      <c r="H28" s="305"/>
      <c r="I28" s="349"/>
      <c r="J28" s="343"/>
      <c r="K28" s="343"/>
      <c r="L28" s="346"/>
      <c r="M28" s="346"/>
      <c r="N28" s="347"/>
      <c r="O28" s="348" t="str">
        <f t="shared" si="4"/>
        <v> </v>
      </c>
      <c r="P28" s="307"/>
      <c r="R28" s="349"/>
      <c r="S28" s="343"/>
      <c r="T28" s="343"/>
      <c r="U28" s="346"/>
      <c r="V28" s="346"/>
      <c r="W28" s="347"/>
      <c r="X28" s="348" t="str">
        <f t="shared" si="5"/>
        <v> </v>
      </c>
      <c r="AA28" s="349"/>
      <c r="AB28" s="343"/>
      <c r="AC28" s="343"/>
      <c r="AD28" s="346"/>
      <c r="AE28" s="346"/>
      <c r="AF28" s="347"/>
      <c r="AG28" s="348" t="str">
        <f t="shared" si="6"/>
        <v> </v>
      </c>
    </row>
    <row r="29" ht="15.75" customHeight="1">
      <c r="A29" s="305"/>
      <c r="B29" s="301"/>
      <c r="C29" s="301"/>
      <c r="D29" s="300"/>
      <c r="E29" s="300"/>
      <c r="F29" s="300"/>
      <c r="G29" s="300"/>
      <c r="H29" s="305"/>
      <c r="I29" s="349"/>
      <c r="J29" s="343"/>
      <c r="K29" s="343"/>
      <c r="L29" s="346"/>
      <c r="M29" s="346"/>
      <c r="N29" s="347"/>
      <c r="O29" s="348" t="str">
        <f t="shared" si="4"/>
        <v> </v>
      </c>
      <c r="P29" s="307"/>
      <c r="R29" s="349"/>
      <c r="S29" s="343"/>
      <c r="T29" s="343"/>
      <c r="U29" s="346"/>
      <c r="V29" s="346"/>
      <c r="W29" s="347"/>
      <c r="X29" s="348" t="str">
        <f t="shared" si="5"/>
        <v> </v>
      </c>
      <c r="AA29" s="349"/>
      <c r="AB29" s="343"/>
      <c r="AC29" s="343"/>
      <c r="AD29" s="346"/>
      <c r="AE29" s="346"/>
      <c r="AF29" s="347"/>
      <c r="AG29" s="348" t="str">
        <f t="shared" si="6"/>
        <v> </v>
      </c>
    </row>
    <row r="30" ht="15.75" customHeight="1">
      <c r="A30" s="305"/>
      <c r="B30" s="301"/>
      <c r="C30" s="301"/>
      <c r="D30" s="300"/>
      <c r="E30" s="300"/>
      <c r="F30" s="300"/>
      <c r="G30" s="300"/>
      <c r="H30" s="305"/>
      <c r="I30" s="349"/>
      <c r="J30" s="343"/>
      <c r="K30" s="343"/>
      <c r="L30" s="346"/>
      <c r="M30" s="345"/>
      <c r="N30" s="347"/>
      <c r="O30" s="348" t="str">
        <f t="shared" si="4"/>
        <v> </v>
      </c>
      <c r="P30" s="307"/>
      <c r="R30" s="349"/>
      <c r="S30" s="343"/>
      <c r="T30" s="343"/>
      <c r="U30" s="346"/>
      <c r="V30" s="345"/>
      <c r="W30" s="347"/>
      <c r="X30" s="348" t="str">
        <f t="shared" si="5"/>
        <v> </v>
      </c>
      <c r="AA30" s="349"/>
      <c r="AB30" s="343"/>
      <c r="AC30" s="343"/>
      <c r="AD30" s="346"/>
      <c r="AE30" s="345"/>
      <c r="AF30" s="347"/>
      <c r="AG30" s="348" t="str">
        <f t="shared" si="6"/>
        <v> </v>
      </c>
    </row>
    <row r="31" ht="15.75" customHeight="1">
      <c r="A31" s="305"/>
      <c r="B31" s="301"/>
      <c r="C31" s="301"/>
      <c r="D31" s="300"/>
      <c r="E31" s="300"/>
      <c r="F31" s="300"/>
      <c r="G31" s="300"/>
      <c r="H31" s="305"/>
      <c r="I31" s="349"/>
      <c r="J31" s="343"/>
      <c r="K31" s="343"/>
      <c r="L31" s="346"/>
      <c r="M31" s="361"/>
      <c r="N31" s="347"/>
      <c r="O31" s="348" t="str">
        <f t="shared" si="4"/>
        <v> </v>
      </c>
      <c r="P31" s="307"/>
      <c r="R31" s="349"/>
      <c r="S31" s="343"/>
      <c r="T31" s="343"/>
      <c r="U31" s="346"/>
      <c r="V31" s="361"/>
      <c r="W31" s="347"/>
      <c r="X31" s="348" t="str">
        <f t="shared" si="5"/>
        <v> </v>
      </c>
      <c r="AA31" s="349"/>
      <c r="AB31" s="343"/>
      <c r="AC31" s="343"/>
      <c r="AD31" s="346"/>
      <c r="AE31" s="361"/>
      <c r="AF31" s="347"/>
      <c r="AG31" s="348" t="str">
        <f t="shared" si="6"/>
        <v> </v>
      </c>
    </row>
    <row r="32" ht="15.75" customHeight="1">
      <c r="A32" s="305"/>
      <c r="B32" s="301"/>
      <c r="C32" s="301"/>
      <c r="D32" s="300"/>
      <c r="E32" s="300"/>
      <c r="F32" s="300"/>
      <c r="G32" s="300"/>
      <c r="H32" s="305"/>
      <c r="I32" s="349"/>
      <c r="J32" s="343"/>
      <c r="K32" s="343"/>
      <c r="L32" s="345"/>
      <c r="M32" s="360"/>
      <c r="N32" s="347"/>
      <c r="O32" s="348" t="str">
        <f t="shared" si="4"/>
        <v> </v>
      </c>
      <c r="P32" s="307"/>
      <c r="R32" s="349"/>
      <c r="S32" s="343"/>
      <c r="T32" s="343"/>
      <c r="U32" s="345"/>
      <c r="V32" s="360"/>
      <c r="W32" s="347"/>
      <c r="X32" s="348" t="str">
        <f t="shared" si="5"/>
        <v> </v>
      </c>
      <c r="AA32" s="349"/>
      <c r="AB32" s="343"/>
      <c r="AC32" s="343"/>
      <c r="AD32" s="345"/>
      <c r="AE32" s="360"/>
      <c r="AF32" s="347"/>
      <c r="AG32" s="348" t="str">
        <f t="shared" si="6"/>
        <v> </v>
      </c>
    </row>
    <row r="33" ht="15.75" customHeight="1">
      <c r="A33" s="305"/>
      <c r="B33" s="301"/>
      <c r="C33" s="301"/>
      <c r="D33" s="300"/>
      <c r="E33" s="300"/>
      <c r="F33" s="300"/>
      <c r="G33" s="300"/>
      <c r="H33" s="305"/>
      <c r="I33" s="349"/>
      <c r="J33" s="343"/>
      <c r="K33" s="343"/>
      <c r="L33" s="345"/>
      <c r="M33" s="360"/>
      <c r="N33" s="347"/>
      <c r="O33" s="348" t="str">
        <f t="shared" si="4"/>
        <v> </v>
      </c>
      <c r="P33" s="307"/>
      <c r="R33" s="349"/>
      <c r="S33" s="343"/>
      <c r="T33" s="343"/>
      <c r="U33" s="345"/>
      <c r="V33" s="360"/>
      <c r="W33" s="347"/>
      <c r="X33" s="348" t="str">
        <f t="shared" si="5"/>
        <v> </v>
      </c>
      <c r="AA33" s="349"/>
      <c r="AB33" s="343"/>
      <c r="AC33" s="343"/>
      <c r="AD33" s="345"/>
      <c r="AE33" s="360"/>
      <c r="AF33" s="347"/>
      <c r="AG33" s="348" t="str">
        <f t="shared" si="6"/>
        <v> </v>
      </c>
    </row>
    <row r="34" ht="15.75" customHeight="1">
      <c r="A34" s="305"/>
      <c r="B34" s="301"/>
      <c r="C34" s="301"/>
      <c r="D34" s="300"/>
      <c r="E34" s="300"/>
      <c r="F34" s="300"/>
      <c r="G34" s="300"/>
      <c r="H34" s="305"/>
      <c r="I34" s="349"/>
      <c r="J34" s="343"/>
      <c r="K34" s="343"/>
      <c r="L34" s="367"/>
      <c r="M34" s="368"/>
      <c r="N34" s="347"/>
      <c r="O34" s="348" t="str">
        <f t="shared" si="4"/>
        <v> </v>
      </c>
      <c r="P34" s="307"/>
      <c r="R34" s="349"/>
      <c r="S34" s="343"/>
      <c r="T34" s="343"/>
      <c r="U34" s="367"/>
      <c r="V34" s="368"/>
      <c r="W34" s="347"/>
      <c r="X34" s="348" t="str">
        <f t="shared" si="5"/>
        <v> </v>
      </c>
      <c r="AA34" s="349"/>
      <c r="AB34" s="343"/>
      <c r="AC34" s="343"/>
      <c r="AD34" s="367"/>
      <c r="AE34" s="368"/>
      <c r="AF34" s="347"/>
      <c r="AG34" s="348" t="str">
        <f t="shared" si="6"/>
        <v> </v>
      </c>
    </row>
    <row r="35" ht="15.75" customHeight="1">
      <c r="A35" s="305"/>
      <c r="B35" s="301"/>
      <c r="C35" s="301"/>
      <c r="D35" s="300"/>
      <c r="E35" s="300"/>
      <c r="F35" s="300"/>
      <c r="G35" s="300"/>
      <c r="H35" s="305"/>
      <c r="I35" s="349"/>
      <c r="J35" s="343"/>
      <c r="K35" s="343"/>
      <c r="L35" s="367"/>
      <c r="M35" s="368"/>
      <c r="N35" s="347"/>
      <c r="O35" s="348" t="str">
        <f t="shared" si="4"/>
        <v> </v>
      </c>
      <c r="P35" s="307"/>
      <c r="R35" s="349"/>
      <c r="S35" s="343"/>
      <c r="T35" s="343"/>
      <c r="U35" s="367"/>
      <c r="V35" s="368"/>
      <c r="W35" s="347"/>
      <c r="X35" s="348" t="str">
        <f t="shared" si="5"/>
        <v> </v>
      </c>
      <c r="AA35" s="349"/>
      <c r="AB35" s="343"/>
      <c r="AC35" s="343"/>
      <c r="AD35" s="367"/>
      <c r="AE35" s="368"/>
      <c r="AF35" s="347"/>
      <c r="AG35" s="348" t="str">
        <f t="shared" si="6"/>
        <v> </v>
      </c>
    </row>
    <row r="36" ht="15.75" customHeight="1">
      <c r="A36" s="305"/>
      <c r="B36" s="301"/>
      <c r="C36" s="301"/>
      <c r="D36" s="300"/>
      <c r="E36" s="300"/>
      <c r="F36" s="300"/>
      <c r="G36" s="300"/>
      <c r="H36" s="305"/>
      <c r="I36" s="349"/>
      <c r="J36" s="343"/>
      <c r="K36" s="343"/>
      <c r="L36" s="367"/>
      <c r="M36" s="368"/>
      <c r="N36" s="347"/>
      <c r="O36" s="348" t="str">
        <f t="shared" si="4"/>
        <v> </v>
      </c>
      <c r="P36" s="307"/>
      <c r="R36" s="349"/>
      <c r="S36" s="343"/>
      <c r="T36" s="343"/>
      <c r="U36" s="367"/>
      <c r="V36" s="368"/>
      <c r="W36" s="347"/>
      <c r="X36" s="348" t="str">
        <f t="shared" si="5"/>
        <v> </v>
      </c>
      <c r="AA36" s="349"/>
      <c r="AB36" s="343"/>
      <c r="AC36" s="343"/>
      <c r="AD36" s="367"/>
      <c r="AE36" s="368"/>
      <c r="AF36" s="347"/>
      <c r="AG36" s="348" t="str">
        <f t="shared" si="6"/>
        <v> </v>
      </c>
    </row>
    <row r="37" ht="15.75" customHeight="1">
      <c r="A37" s="305"/>
      <c r="B37" s="301"/>
      <c r="C37" s="301"/>
      <c r="D37" s="300"/>
      <c r="E37" s="300"/>
      <c r="F37" s="300"/>
      <c r="G37" s="300"/>
      <c r="H37" s="305"/>
      <c r="I37" s="349"/>
      <c r="J37" s="343"/>
      <c r="K37" s="343"/>
      <c r="L37" s="367"/>
      <c r="M37" s="368"/>
      <c r="N37" s="347"/>
      <c r="O37" s="348" t="str">
        <f t="shared" si="4"/>
        <v> </v>
      </c>
      <c r="P37" s="307"/>
      <c r="R37" s="349"/>
      <c r="S37" s="343"/>
      <c r="T37" s="343"/>
      <c r="U37" s="367"/>
      <c r="V37" s="368"/>
      <c r="W37" s="347"/>
      <c r="X37" s="348" t="str">
        <f t="shared" si="5"/>
        <v> </v>
      </c>
      <c r="AA37" s="349"/>
      <c r="AB37" s="343"/>
      <c r="AC37" s="343"/>
      <c r="AD37" s="367"/>
      <c r="AE37" s="368"/>
      <c r="AF37" s="347"/>
      <c r="AG37" s="348" t="str">
        <f t="shared" si="6"/>
        <v> </v>
      </c>
    </row>
    <row r="38" ht="15.75" customHeight="1">
      <c r="A38" s="305"/>
      <c r="B38" s="301"/>
      <c r="C38" s="301"/>
      <c r="D38" s="300"/>
      <c r="E38" s="300"/>
      <c r="F38" s="300"/>
      <c r="G38" s="300"/>
      <c r="H38" s="305"/>
      <c r="I38" s="349"/>
      <c r="J38" s="343"/>
      <c r="K38" s="343"/>
      <c r="L38" s="367"/>
      <c r="M38" s="368"/>
      <c r="N38" s="347"/>
      <c r="O38" s="348" t="str">
        <f t="shared" si="4"/>
        <v> </v>
      </c>
      <c r="P38" s="307"/>
      <c r="R38" s="349"/>
      <c r="S38" s="343"/>
      <c r="T38" s="343"/>
      <c r="U38" s="367"/>
      <c r="V38" s="368"/>
      <c r="W38" s="347"/>
      <c r="X38" s="348" t="str">
        <f t="shared" si="5"/>
        <v> </v>
      </c>
      <c r="AA38" s="349"/>
      <c r="AB38" s="343"/>
      <c r="AC38" s="343"/>
      <c r="AD38" s="367"/>
      <c r="AE38" s="368"/>
      <c r="AF38" s="347"/>
      <c r="AG38" s="348" t="str">
        <f t="shared" si="6"/>
        <v> </v>
      </c>
    </row>
    <row r="39" ht="15.75" customHeight="1">
      <c r="A39" s="305"/>
      <c r="B39" s="301"/>
      <c r="C39" s="301"/>
      <c r="D39" s="300"/>
      <c r="E39" s="300"/>
      <c r="F39" s="300"/>
      <c r="G39" s="300"/>
      <c r="H39" s="305"/>
      <c r="I39" s="349"/>
      <c r="J39" s="343"/>
      <c r="K39" s="343"/>
      <c r="L39" s="367"/>
      <c r="M39" s="367"/>
      <c r="N39" s="347"/>
      <c r="O39" s="348" t="str">
        <f t="shared" si="4"/>
        <v> </v>
      </c>
      <c r="P39" s="307"/>
      <c r="R39" s="349"/>
      <c r="S39" s="343"/>
      <c r="T39" s="343"/>
      <c r="U39" s="367"/>
      <c r="V39" s="367"/>
      <c r="W39" s="347"/>
      <c r="X39" s="348" t="str">
        <f t="shared" si="5"/>
        <v> </v>
      </c>
      <c r="AA39" s="349"/>
      <c r="AB39" s="343"/>
      <c r="AC39" s="343"/>
      <c r="AD39" s="367"/>
      <c r="AE39" s="367"/>
      <c r="AF39" s="347"/>
      <c r="AG39" s="348" t="str">
        <f t="shared" si="6"/>
        <v> </v>
      </c>
    </row>
    <row r="40" ht="15.75" customHeight="1">
      <c r="A40" s="305"/>
      <c r="B40" s="301"/>
      <c r="C40" s="301"/>
      <c r="D40" s="300"/>
      <c r="E40" s="300"/>
      <c r="F40" s="300"/>
      <c r="G40" s="300"/>
      <c r="H40" s="305"/>
      <c r="I40" s="349"/>
      <c r="J40" s="343"/>
      <c r="K40" s="343"/>
      <c r="L40" s="367"/>
      <c r="M40" s="368"/>
      <c r="N40" s="347"/>
      <c r="O40" s="348" t="str">
        <f t="shared" si="4"/>
        <v> </v>
      </c>
      <c r="P40" s="307"/>
      <c r="R40" s="349"/>
      <c r="S40" s="343"/>
      <c r="T40" s="343"/>
      <c r="U40" s="367"/>
      <c r="V40" s="368"/>
      <c r="W40" s="347"/>
      <c r="X40" s="348" t="str">
        <f t="shared" si="5"/>
        <v> </v>
      </c>
      <c r="AA40" s="349"/>
      <c r="AB40" s="343"/>
      <c r="AC40" s="343"/>
      <c r="AD40" s="367"/>
      <c r="AE40" s="368"/>
      <c r="AF40" s="347"/>
      <c r="AG40" s="348" t="str">
        <f t="shared" si="6"/>
        <v> </v>
      </c>
    </row>
    <row r="41" ht="15.75" customHeight="1">
      <c r="A41" s="305"/>
      <c r="B41" s="301"/>
      <c r="C41" s="301"/>
      <c r="D41" s="300"/>
      <c r="E41" s="300"/>
      <c r="F41" s="300"/>
      <c r="G41" s="300"/>
      <c r="H41" s="305"/>
      <c r="I41" s="349"/>
      <c r="J41" s="343"/>
      <c r="K41" s="343"/>
      <c r="L41" s="367"/>
      <c r="M41" s="368"/>
      <c r="N41" s="347"/>
      <c r="O41" s="348" t="str">
        <f t="shared" si="4"/>
        <v> </v>
      </c>
      <c r="P41" s="307"/>
      <c r="R41" s="349"/>
      <c r="S41" s="343"/>
      <c r="T41" s="343"/>
      <c r="U41" s="367"/>
      <c r="V41" s="368"/>
      <c r="W41" s="347"/>
      <c r="X41" s="348" t="str">
        <f t="shared" si="5"/>
        <v> </v>
      </c>
      <c r="AA41" s="349"/>
      <c r="AB41" s="343"/>
      <c r="AC41" s="343"/>
      <c r="AD41" s="367"/>
      <c r="AE41" s="368"/>
      <c r="AF41" s="347"/>
      <c r="AG41" s="348" t="str">
        <f t="shared" si="6"/>
        <v> </v>
      </c>
    </row>
    <row r="42" ht="15.75" customHeight="1">
      <c r="A42" s="305"/>
      <c r="B42" s="301"/>
      <c r="C42" s="301"/>
      <c r="D42" s="300"/>
      <c r="E42" s="300"/>
      <c r="F42" s="300"/>
      <c r="G42" s="300"/>
      <c r="H42" s="305"/>
      <c r="I42" s="349"/>
      <c r="J42" s="343"/>
      <c r="K42" s="343"/>
      <c r="L42" s="367"/>
      <c r="M42" s="368"/>
      <c r="N42" s="347"/>
      <c r="O42" s="348" t="str">
        <f t="shared" si="4"/>
        <v> </v>
      </c>
      <c r="P42" s="307"/>
      <c r="R42" s="349"/>
      <c r="S42" s="343"/>
      <c r="T42" s="343"/>
      <c r="U42" s="367"/>
      <c r="V42" s="368"/>
      <c r="W42" s="347"/>
      <c r="X42" s="348" t="str">
        <f t="shared" si="5"/>
        <v> </v>
      </c>
      <c r="AA42" s="349"/>
      <c r="AB42" s="343"/>
      <c r="AC42" s="343"/>
      <c r="AD42" s="367"/>
      <c r="AE42" s="368"/>
      <c r="AF42" s="347"/>
      <c r="AG42" s="348" t="str">
        <f t="shared" si="6"/>
        <v> </v>
      </c>
    </row>
    <row r="43" ht="15.75" customHeight="1">
      <c r="A43" s="305"/>
      <c r="B43" s="301"/>
      <c r="C43" s="301"/>
      <c r="D43" s="300"/>
      <c r="E43" s="300"/>
      <c r="F43" s="300"/>
      <c r="G43" s="300"/>
      <c r="H43" s="305"/>
      <c r="I43" s="349"/>
      <c r="J43" s="343"/>
      <c r="K43" s="343"/>
      <c r="L43" s="367"/>
      <c r="M43" s="368"/>
      <c r="N43" s="347"/>
      <c r="O43" s="348" t="str">
        <f t="shared" si="4"/>
        <v> </v>
      </c>
      <c r="P43" s="307"/>
      <c r="R43" s="349"/>
      <c r="S43" s="343"/>
      <c r="T43" s="343"/>
      <c r="U43" s="367"/>
      <c r="V43" s="368"/>
      <c r="W43" s="347"/>
      <c r="X43" s="348" t="str">
        <f t="shared" si="5"/>
        <v> </v>
      </c>
      <c r="AA43" s="349"/>
      <c r="AB43" s="343"/>
      <c r="AC43" s="343"/>
      <c r="AD43" s="367"/>
      <c r="AE43" s="368"/>
      <c r="AF43" s="347"/>
      <c r="AG43" s="348" t="str">
        <f t="shared" si="6"/>
        <v> </v>
      </c>
    </row>
    <row r="44" ht="15.75" customHeight="1">
      <c r="A44" s="305"/>
      <c r="B44" s="301"/>
      <c r="C44" s="301"/>
      <c r="D44" s="300"/>
      <c r="E44" s="300"/>
      <c r="F44" s="300"/>
      <c r="G44" s="300"/>
      <c r="H44" s="305"/>
      <c r="I44" s="349"/>
      <c r="J44" s="343"/>
      <c r="K44" s="343"/>
      <c r="L44" s="367"/>
      <c r="M44" s="367"/>
      <c r="N44" s="347"/>
      <c r="O44" s="348" t="str">
        <f t="shared" si="4"/>
        <v> </v>
      </c>
      <c r="P44" s="307"/>
      <c r="R44" s="349"/>
      <c r="S44" s="343"/>
      <c r="T44" s="343"/>
      <c r="U44" s="367"/>
      <c r="V44" s="367"/>
      <c r="W44" s="347"/>
      <c r="X44" s="348" t="str">
        <f t="shared" si="5"/>
        <v> </v>
      </c>
      <c r="AA44" s="349"/>
      <c r="AB44" s="343"/>
      <c r="AC44" s="343"/>
      <c r="AD44" s="367"/>
      <c r="AE44" s="367"/>
      <c r="AF44" s="347"/>
      <c r="AG44" s="348" t="str">
        <f t="shared" si="6"/>
        <v> </v>
      </c>
    </row>
    <row r="45" ht="15.75" customHeight="1">
      <c r="A45" s="305"/>
      <c r="B45" s="301"/>
      <c r="C45" s="301"/>
      <c r="D45" s="300"/>
      <c r="E45" s="300"/>
      <c r="F45" s="300"/>
      <c r="G45" s="300"/>
      <c r="H45" s="305"/>
      <c r="I45" s="349"/>
      <c r="J45" s="343"/>
      <c r="K45" s="343"/>
      <c r="L45" s="367"/>
      <c r="M45" s="367"/>
      <c r="N45" s="347"/>
      <c r="O45" s="348" t="str">
        <f t="shared" si="4"/>
        <v> </v>
      </c>
      <c r="P45" s="307"/>
      <c r="R45" s="349"/>
      <c r="S45" s="343"/>
      <c r="T45" s="343"/>
      <c r="U45" s="367"/>
      <c r="V45" s="367"/>
      <c r="W45" s="347"/>
      <c r="X45" s="348" t="str">
        <f t="shared" si="5"/>
        <v> </v>
      </c>
      <c r="AA45" s="349"/>
      <c r="AB45" s="343"/>
      <c r="AC45" s="343"/>
      <c r="AD45" s="367"/>
      <c r="AE45" s="367"/>
      <c r="AF45" s="347"/>
      <c r="AG45" s="348" t="str">
        <f t="shared" si="6"/>
        <v> </v>
      </c>
    </row>
    <row r="46" ht="15.75" customHeight="1">
      <c r="A46" s="305"/>
      <c r="B46" s="301"/>
      <c r="C46" s="301"/>
      <c r="D46" s="300"/>
      <c r="E46" s="300"/>
      <c r="F46" s="300"/>
      <c r="G46" s="300"/>
      <c r="H46" s="305"/>
      <c r="I46" s="349"/>
      <c r="J46" s="343"/>
      <c r="K46" s="343"/>
      <c r="L46" s="367"/>
      <c r="M46" s="368"/>
      <c r="N46" s="347"/>
      <c r="O46" s="348" t="str">
        <f t="shared" si="4"/>
        <v> </v>
      </c>
      <c r="P46" s="307"/>
      <c r="R46" s="349"/>
      <c r="S46" s="343"/>
      <c r="T46" s="343"/>
      <c r="U46" s="367"/>
      <c r="V46" s="368"/>
      <c r="W46" s="347"/>
      <c r="X46" s="348" t="str">
        <f t="shared" si="5"/>
        <v> </v>
      </c>
      <c r="AA46" s="349"/>
      <c r="AB46" s="343"/>
      <c r="AC46" s="343"/>
      <c r="AD46" s="367"/>
      <c r="AE46" s="368"/>
      <c r="AF46" s="347"/>
      <c r="AG46" s="348" t="str">
        <f t="shared" si="6"/>
        <v> </v>
      </c>
    </row>
    <row r="47" ht="15.75" customHeight="1">
      <c r="A47" s="305"/>
      <c r="B47" s="301"/>
      <c r="C47" s="301"/>
      <c r="D47" s="300"/>
      <c r="E47" s="300"/>
      <c r="F47" s="300"/>
      <c r="G47" s="300"/>
      <c r="H47" s="305"/>
      <c r="I47" s="349"/>
      <c r="J47" s="343"/>
      <c r="K47" s="343"/>
      <c r="L47" s="367"/>
      <c r="M47" s="368"/>
      <c r="N47" s="347"/>
      <c r="O47" s="348" t="str">
        <f t="shared" si="4"/>
        <v> </v>
      </c>
      <c r="P47" s="307"/>
      <c r="R47" s="349"/>
      <c r="S47" s="343"/>
      <c r="T47" s="343"/>
      <c r="U47" s="367"/>
      <c r="V47" s="368"/>
      <c r="W47" s="347"/>
      <c r="X47" s="348" t="str">
        <f t="shared" si="5"/>
        <v> </v>
      </c>
      <c r="AA47" s="349"/>
      <c r="AB47" s="343"/>
      <c r="AC47" s="343"/>
      <c r="AD47" s="367"/>
      <c r="AE47" s="368"/>
      <c r="AF47" s="347"/>
      <c r="AG47" s="348" t="str">
        <f t="shared" si="6"/>
        <v> </v>
      </c>
    </row>
    <row r="48" ht="30.0" customHeight="1">
      <c r="A48" s="305"/>
      <c r="B48" s="301"/>
      <c r="C48" s="301"/>
      <c r="D48" s="300"/>
      <c r="E48" s="300"/>
      <c r="F48" s="300"/>
      <c r="G48" s="300"/>
      <c r="H48" s="305"/>
      <c r="I48" s="349"/>
      <c r="J48" s="343"/>
      <c r="K48" s="343"/>
      <c r="L48" s="367"/>
      <c r="M48" s="367"/>
      <c r="N48" s="347"/>
      <c r="O48" s="348" t="str">
        <f t="shared" si="4"/>
        <v> </v>
      </c>
      <c r="P48" s="307"/>
      <c r="R48" s="349"/>
      <c r="S48" s="343"/>
      <c r="T48" s="343"/>
      <c r="U48" s="367"/>
      <c r="V48" s="367"/>
      <c r="W48" s="347"/>
      <c r="X48" s="348" t="str">
        <f t="shared" si="5"/>
        <v> </v>
      </c>
      <c r="AA48" s="349"/>
      <c r="AB48" s="343"/>
      <c r="AC48" s="343"/>
      <c r="AD48" s="367"/>
      <c r="AE48" s="367"/>
      <c r="AF48" s="347"/>
      <c r="AG48" s="348" t="str">
        <f t="shared" si="6"/>
        <v> </v>
      </c>
    </row>
    <row r="49" ht="28.5" customHeight="1">
      <c r="A49" s="305"/>
      <c r="B49" s="301"/>
      <c r="C49" s="301"/>
      <c r="D49" s="300"/>
      <c r="E49" s="300"/>
      <c r="F49" s="300"/>
      <c r="G49" s="300"/>
      <c r="H49" s="305"/>
      <c r="I49" s="349"/>
      <c r="J49" s="343"/>
      <c r="K49" s="343"/>
      <c r="L49" s="367"/>
      <c r="M49" s="368"/>
      <c r="N49" s="347"/>
      <c r="O49" s="348" t="str">
        <f t="shared" si="4"/>
        <v> </v>
      </c>
      <c r="P49" s="307"/>
      <c r="R49" s="349"/>
      <c r="S49" s="343"/>
      <c r="T49" s="343"/>
      <c r="U49" s="367"/>
      <c r="V49" s="368"/>
      <c r="W49" s="347"/>
      <c r="X49" s="348" t="str">
        <f t="shared" si="5"/>
        <v> </v>
      </c>
      <c r="AA49" s="349"/>
      <c r="AB49" s="343"/>
      <c r="AC49" s="343"/>
      <c r="AD49" s="367"/>
      <c r="AE49" s="368"/>
      <c r="AF49" s="347"/>
      <c r="AG49" s="348" t="str">
        <f t="shared" si="6"/>
        <v> </v>
      </c>
    </row>
    <row r="50" ht="15.75" customHeight="1">
      <c r="A50" s="305"/>
      <c r="B50" s="301"/>
      <c r="C50" s="301"/>
      <c r="D50" s="300"/>
      <c r="E50" s="300"/>
      <c r="F50" s="300"/>
      <c r="G50" s="300"/>
      <c r="H50" s="305"/>
      <c r="I50" s="349"/>
      <c r="J50" s="343"/>
      <c r="K50" s="343"/>
      <c r="L50" s="367"/>
      <c r="M50" s="368"/>
      <c r="N50" s="347"/>
      <c r="O50" s="348" t="str">
        <f t="shared" si="4"/>
        <v> </v>
      </c>
      <c r="P50" s="307"/>
      <c r="R50" s="349"/>
      <c r="S50" s="343"/>
      <c r="T50" s="343"/>
      <c r="U50" s="367"/>
      <c r="V50" s="368"/>
      <c r="W50" s="347"/>
      <c r="X50" s="348" t="str">
        <f t="shared" si="5"/>
        <v> </v>
      </c>
      <c r="AA50" s="349"/>
      <c r="AB50" s="343"/>
      <c r="AC50" s="343"/>
      <c r="AD50" s="367"/>
      <c r="AE50" s="368"/>
      <c r="AF50" s="347"/>
      <c r="AG50" s="348" t="str">
        <f t="shared" si="6"/>
        <v> </v>
      </c>
    </row>
    <row r="51" ht="15.75" customHeight="1">
      <c r="A51" s="305"/>
      <c r="B51" s="301"/>
      <c r="C51" s="301"/>
      <c r="D51" s="300"/>
      <c r="E51" s="300"/>
      <c r="F51" s="300"/>
      <c r="G51" s="300"/>
      <c r="H51" s="305"/>
      <c r="I51" s="349"/>
      <c r="J51" s="343"/>
      <c r="K51" s="343"/>
      <c r="L51" s="367"/>
      <c r="M51" s="368"/>
      <c r="N51" s="347"/>
      <c r="O51" s="348" t="str">
        <f t="shared" si="4"/>
        <v> </v>
      </c>
      <c r="P51" s="307"/>
      <c r="R51" s="349"/>
      <c r="S51" s="343"/>
      <c r="T51" s="343"/>
      <c r="U51" s="367"/>
      <c r="V51" s="368"/>
      <c r="W51" s="347"/>
      <c r="X51" s="348" t="str">
        <f t="shared" si="5"/>
        <v> </v>
      </c>
      <c r="AA51" s="349"/>
      <c r="AB51" s="343"/>
      <c r="AC51" s="343"/>
      <c r="AD51" s="367"/>
      <c r="AE51" s="368"/>
      <c r="AF51" s="347"/>
      <c r="AG51" s="348" t="str">
        <f t="shared" si="6"/>
        <v> </v>
      </c>
    </row>
    <row r="52" ht="15.75" customHeight="1">
      <c r="A52" s="305"/>
      <c r="B52" s="301"/>
      <c r="C52" s="301"/>
      <c r="D52" s="300"/>
      <c r="E52" s="300"/>
      <c r="F52" s="300"/>
      <c r="G52" s="300"/>
      <c r="H52" s="305"/>
      <c r="I52" s="349"/>
      <c r="J52" s="343"/>
      <c r="K52" s="343"/>
      <c r="L52" s="367"/>
      <c r="M52" s="368"/>
      <c r="N52" s="347"/>
      <c r="O52" s="348" t="str">
        <f t="shared" si="4"/>
        <v> </v>
      </c>
      <c r="P52" s="307"/>
      <c r="R52" s="349"/>
      <c r="S52" s="343"/>
      <c r="T52" s="343"/>
      <c r="U52" s="367"/>
      <c r="V52" s="368"/>
      <c r="W52" s="347"/>
      <c r="X52" s="348" t="str">
        <f t="shared" si="5"/>
        <v> </v>
      </c>
      <c r="AA52" s="349"/>
      <c r="AB52" s="343"/>
      <c r="AC52" s="343"/>
      <c r="AD52" s="367"/>
      <c r="AE52" s="368"/>
      <c r="AF52" s="347"/>
      <c r="AG52" s="348" t="str">
        <f t="shared" si="6"/>
        <v> </v>
      </c>
    </row>
    <row r="53" ht="15.75" customHeight="1">
      <c r="A53" s="305"/>
      <c r="B53" s="301"/>
      <c r="C53" s="301"/>
      <c r="D53" s="300"/>
      <c r="E53" s="300"/>
      <c r="F53" s="300"/>
      <c r="G53" s="300"/>
      <c r="H53" s="305"/>
      <c r="I53" s="349"/>
      <c r="J53" s="343"/>
      <c r="K53" s="343"/>
      <c r="L53" s="367"/>
      <c r="M53" s="368"/>
      <c r="N53" s="347"/>
      <c r="O53" s="348" t="str">
        <f t="shared" si="4"/>
        <v> </v>
      </c>
      <c r="P53" s="307"/>
      <c r="R53" s="349"/>
      <c r="S53" s="343"/>
      <c r="T53" s="343"/>
      <c r="U53" s="367"/>
      <c r="V53" s="368"/>
      <c r="W53" s="347"/>
      <c r="X53" s="348" t="str">
        <f t="shared" si="5"/>
        <v> </v>
      </c>
      <c r="AA53" s="349"/>
      <c r="AB53" s="343"/>
      <c r="AC53" s="343"/>
      <c r="AD53" s="367"/>
      <c r="AE53" s="368"/>
      <c r="AF53" s="347"/>
      <c r="AG53" s="348" t="str">
        <f t="shared" si="6"/>
        <v> </v>
      </c>
    </row>
    <row r="54" ht="15.75" customHeight="1">
      <c r="A54" s="305"/>
      <c r="B54" s="301"/>
      <c r="C54" s="301"/>
      <c r="D54" s="300"/>
      <c r="E54" s="300"/>
      <c r="F54" s="300"/>
      <c r="G54" s="300"/>
      <c r="H54" s="305"/>
      <c r="I54" s="349"/>
      <c r="J54" s="343"/>
      <c r="K54" s="343"/>
      <c r="L54" s="367"/>
      <c r="M54" s="368"/>
      <c r="N54" s="347"/>
      <c r="O54" s="348" t="str">
        <f t="shared" si="4"/>
        <v> </v>
      </c>
      <c r="P54" s="307"/>
      <c r="R54" s="349"/>
      <c r="S54" s="343"/>
      <c r="T54" s="343"/>
      <c r="U54" s="367"/>
      <c r="V54" s="368"/>
      <c r="W54" s="347"/>
      <c r="X54" s="348" t="str">
        <f t="shared" si="5"/>
        <v> </v>
      </c>
      <c r="AA54" s="349"/>
      <c r="AB54" s="343"/>
      <c r="AC54" s="343"/>
      <c r="AD54" s="367"/>
      <c r="AE54" s="368"/>
      <c r="AF54" s="347"/>
      <c r="AG54" s="348" t="str">
        <f t="shared" si="6"/>
        <v> </v>
      </c>
    </row>
    <row r="55" ht="15.75" customHeight="1">
      <c r="A55" s="305"/>
      <c r="B55" s="301"/>
      <c r="C55" s="301"/>
      <c r="D55" s="300"/>
      <c r="E55" s="300"/>
      <c r="F55" s="300"/>
      <c r="G55" s="300"/>
      <c r="H55" s="305"/>
      <c r="I55" s="349"/>
      <c r="J55" s="343"/>
      <c r="K55" s="343"/>
      <c r="L55" s="367"/>
      <c r="M55" s="368"/>
      <c r="N55" s="347"/>
      <c r="O55" s="348" t="str">
        <f t="shared" si="4"/>
        <v> </v>
      </c>
      <c r="P55" s="307"/>
      <c r="R55" s="349"/>
      <c r="S55" s="343"/>
      <c r="T55" s="343"/>
      <c r="U55" s="367"/>
      <c r="V55" s="368"/>
      <c r="W55" s="347"/>
      <c r="X55" s="348" t="str">
        <f t="shared" si="5"/>
        <v> </v>
      </c>
      <c r="AA55" s="349"/>
      <c r="AB55" s="343"/>
      <c r="AC55" s="343"/>
      <c r="AD55" s="367"/>
      <c r="AE55" s="368"/>
      <c r="AF55" s="347"/>
      <c r="AG55" s="348" t="str">
        <f t="shared" si="6"/>
        <v> </v>
      </c>
    </row>
    <row r="56" ht="32.25" customHeight="1">
      <c r="A56" s="305"/>
      <c r="B56" s="301"/>
      <c r="C56" s="301"/>
      <c r="D56" s="300"/>
      <c r="E56" s="300"/>
      <c r="F56" s="300"/>
      <c r="G56" s="300"/>
      <c r="H56" s="305"/>
      <c r="I56" s="349"/>
      <c r="J56" s="343"/>
      <c r="K56" s="343"/>
      <c r="L56" s="367"/>
      <c r="M56" s="368"/>
      <c r="N56" s="347"/>
      <c r="O56" s="348" t="str">
        <f t="shared" si="4"/>
        <v> </v>
      </c>
      <c r="P56" s="307"/>
      <c r="R56" s="349"/>
      <c r="S56" s="343"/>
      <c r="T56" s="343"/>
      <c r="U56" s="367"/>
      <c r="V56" s="368"/>
      <c r="W56" s="347"/>
      <c r="X56" s="348" t="str">
        <f t="shared" si="5"/>
        <v> </v>
      </c>
      <c r="AA56" s="349"/>
      <c r="AB56" s="343"/>
      <c r="AC56" s="343"/>
      <c r="AD56" s="367"/>
      <c r="AE56" s="368"/>
      <c r="AF56" s="347"/>
      <c r="AG56" s="348" t="str">
        <f t="shared" si="6"/>
        <v> </v>
      </c>
    </row>
    <row r="57" ht="30.0" customHeight="1">
      <c r="A57" s="305"/>
      <c r="B57" s="301"/>
      <c r="C57" s="301"/>
      <c r="D57" s="300"/>
      <c r="E57" s="300"/>
      <c r="F57" s="300"/>
      <c r="G57" s="300"/>
      <c r="H57" s="305"/>
      <c r="I57" s="349"/>
      <c r="J57" s="343"/>
      <c r="K57" s="343"/>
      <c r="L57" s="367"/>
      <c r="M57" s="368"/>
      <c r="N57" s="347"/>
      <c r="O57" s="348" t="str">
        <f t="shared" si="4"/>
        <v> </v>
      </c>
      <c r="P57" s="307"/>
      <c r="R57" s="349"/>
      <c r="S57" s="343"/>
      <c r="T57" s="343"/>
      <c r="U57" s="367"/>
      <c r="V57" s="368"/>
      <c r="W57" s="347"/>
      <c r="X57" s="348" t="str">
        <f t="shared" si="5"/>
        <v> </v>
      </c>
      <c r="AA57" s="349"/>
      <c r="AB57" s="343"/>
      <c r="AC57" s="343"/>
      <c r="AD57" s="367"/>
      <c r="AE57" s="368"/>
      <c r="AF57" s="347"/>
      <c r="AG57" s="348" t="str">
        <f t="shared" si="6"/>
        <v> </v>
      </c>
    </row>
    <row r="58" ht="30.0" customHeight="1">
      <c r="A58" s="305"/>
      <c r="B58" s="301"/>
      <c r="C58" s="301"/>
      <c r="D58" s="300"/>
      <c r="E58" s="300"/>
      <c r="F58" s="300"/>
      <c r="G58" s="300"/>
      <c r="H58" s="305"/>
      <c r="I58" s="349"/>
      <c r="J58" s="343"/>
      <c r="K58" s="343"/>
      <c r="L58" s="367"/>
      <c r="M58" s="368"/>
      <c r="N58" s="347"/>
      <c r="O58" s="348" t="str">
        <f t="shared" si="4"/>
        <v> </v>
      </c>
      <c r="P58" s="307"/>
      <c r="R58" s="349"/>
      <c r="S58" s="343"/>
      <c r="T58" s="343"/>
      <c r="U58" s="367"/>
      <c r="V58" s="368"/>
      <c r="W58" s="347"/>
      <c r="X58" s="348" t="str">
        <f t="shared" si="5"/>
        <v> </v>
      </c>
      <c r="AA58" s="349"/>
      <c r="AB58" s="343"/>
      <c r="AC58" s="343"/>
      <c r="AD58" s="367"/>
      <c r="AE58" s="368"/>
      <c r="AF58" s="347"/>
      <c r="AG58" s="348" t="str">
        <f t="shared" si="6"/>
        <v> </v>
      </c>
    </row>
    <row r="59" ht="30.75" customHeight="1">
      <c r="A59" s="305"/>
      <c r="B59" s="301"/>
      <c r="C59" s="301"/>
      <c r="D59" s="300"/>
      <c r="E59" s="300"/>
      <c r="F59" s="300"/>
      <c r="G59" s="300"/>
      <c r="H59" s="305"/>
      <c r="I59" s="349"/>
      <c r="J59" s="343"/>
      <c r="K59" s="343"/>
      <c r="L59" s="367"/>
      <c r="M59" s="368"/>
      <c r="N59" s="347"/>
      <c r="O59" s="348" t="str">
        <f t="shared" si="4"/>
        <v> </v>
      </c>
      <c r="P59" s="307"/>
      <c r="R59" s="349"/>
      <c r="S59" s="343"/>
      <c r="T59" s="343"/>
      <c r="U59" s="367"/>
      <c r="V59" s="368"/>
      <c r="W59" s="347"/>
      <c r="X59" s="348" t="str">
        <f t="shared" si="5"/>
        <v> </v>
      </c>
      <c r="AA59" s="349"/>
      <c r="AB59" s="343"/>
      <c r="AC59" s="343"/>
      <c r="AD59" s="367"/>
      <c r="AE59" s="368"/>
      <c r="AF59" s="347"/>
      <c r="AG59" s="348" t="str">
        <f t="shared" si="6"/>
        <v> </v>
      </c>
    </row>
    <row r="60" ht="15.75" customHeight="1">
      <c r="A60" s="305"/>
      <c r="B60" s="301"/>
      <c r="C60" s="301"/>
      <c r="D60" s="300"/>
      <c r="E60" s="300"/>
      <c r="F60" s="300"/>
      <c r="G60" s="300"/>
      <c r="H60" s="305"/>
      <c r="I60" s="349"/>
      <c r="J60" s="343"/>
      <c r="K60" s="343"/>
      <c r="L60" s="367"/>
      <c r="M60" s="368"/>
      <c r="N60" s="347"/>
      <c r="O60" s="348" t="str">
        <f t="shared" si="4"/>
        <v> </v>
      </c>
      <c r="P60" s="307"/>
      <c r="R60" s="349"/>
      <c r="S60" s="343"/>
      <c r="T60" s="343"/>
      <c r="U60" s="367"/>
      <c r="V60" s="368"/>
      <c r="W60" s="347"/>
      <c r="X60" s="348" t="str">
        <f t="shared" si="5"/>
        <v> </v>
      </c>
      <c r="AA60" s="349"/>
      <c r="AB60" s="343"/>
      <c r="AC60" s="343"/>
      <c r="AD60" s="367"/>
      <c r="AE60" s="368"/>
      <c r="AF60" s="347"/>
      <c r="AG60" s="348" t="str">
        <f t="shared" si="6"/>
        <v> </v>
      </c>
    </row>
    <row r="61" ht="29.25" customHeight="1">
      <c r="A61" s="305"/>
      <c r="B61" s="301"/>
      <c r="C61" s="301"/>
      <c r="D61" s="300"/>
      <c r="E61" s="300"/>
      <c r="F61" s="300"/>
      <c r="G61" s="300"/>
      <c r="H61" s="305"/>
      <c r="I61" s="349"/>
      <c r="J61" s="343"/>
      <c r="K61" s="343"/>
      <c r="L61" s="367"/>
      <c r="M61" s="368"/>
      <c r="N61" s="347"/>
      <c r="O61" s="348" t="str">
        <f t="shared" si="4"/>
        <v> </v>
      </c>
      <c r="P61" s="307"/>
      <c r="R61" s="349"/>
      <c r="S61" s="343"/>
      <c r="T61" s="343"/>
      <c r="U61" s="367"/>
      <c r="V61" s="368"/>
      <c r="W61" s="347"/>
      <c r="X61" s="348" t="str">
        <f t="shared" si="5"/>
        <v> </v>
      </c>
      <c r="AA61" s="349"/>
      <c r="AB61" s="343"/>
      <c r="AC61" s="343"/>
      <c r="AD61" s="367"/>
      <c r="AE61" s="368"/>
      <c r="AF61" s="347"/>
      <c r="AG61" s="348" t="str">
        <f t="shared" si="6"/>
        <v> </v>
      </c>
    </row>
    <row r="62" ht="15.75" customHeight="1">
      <c r="A62" s="305"/>
      <c r="B62" s="301"/>
      <c r="C62" s="301"/>
      <c r="D62" s="300"/>
      <c r="E62" s="300"/>
      <c r="F62" s="300"/>
      <c r="G62" s="300"/>
      <c r="H62" s="305"/>
      <c r="I62" s="349"/>
      <c r="J62" s="343"/>
      <c r="K62" s="343"/>
      <c r="L62" s="367"/>
      <c r="M62" s="368"/>
      <c r="N62" s="347"/>
      <c r="O62" s="348" t="str">
        <f t="shared" si="4"/>
        <v> </v>
      </c>
      <c r="P62" s="307"/>
      <c r="R62" s="349"/>
      <c r="S62" s="343"/>
      <c r="T62" s="343"/>
      <c r="U62" s="367"/>
      <c r="V62" s="368"/>
      <c r="W62" s="347"/>
      <c r="X62" s="348" t="str">
        <f t="shared" si="5"/>
        <v> </v>
      </c>
      <c r="AA62" s="349"/>
      <c r="AB62" s="343"/>
      <c r="AC62" s="343"/>
      <c r="AD62" s="367"/>
      <c r="AE62" s="368"/>
      <c r="AF62" s="347"/>
      <c r="AG62" s="348" t="str">
        <f t="shared" si="6"/>
        <v> </v>
      </c>
    </row>
    <row r="63" ht="29.25" customHeight="1">
      <c r="A63" s="305"/>
      <c r="B63" s="301"/>
      <c r="C63" s="301"/>
      <c r="D63" s="300"/>
      <c r="E63" s="300"/>
      <c r="F63" s="300"/>
      <c r="G63" s="300"/>
      <c r="H63" s="305"/>
      <c r="I63" s="349"/>
      <c r="J63" s="343"/>
      <c r="K63" s="343"/>
      <c r="L63" s="367"/>
      <c r="M63" s="368"/>
      <c r="N63" s="347"/>
      <c r="O63" s="348" t="str">
        <f t="shared" si="4"/>
        <v> </v>
      </c>
      <c r="P63" s="307"/>
      <c r="R63" s="349"/>
      <c r="S63" s="343"/>
      <c r="T63" s="343"/>
      <c r="U63" s="367"/>
      <c r="V63" s="368"/>
      <c r="W63" s="347"/>
      <c r="X63" s="348" t="str">
        <f t="shared" si="5"/>
        <v> </v>
      </c>
      <c r="AA63" s="349"/>
      <c r="AB63" s="343"/>
      <c r="AC63" s="343"/>
      <c r="AD63" s="367"/>
      <c r="AE63" s="368"/>
      <c r="AF63" s="347"/>
      <c r="AG63" s="348" t="str">
        <f t="shared" si="6"/>
        <v> </v>
      </c>
    </row>
    <row r="64" ht="30.0" customHeight="1">
      <c r="A64" s="305"/>
      <c r="B64" s="301"/>
      <c r="C64" s="301"/>
      <c r="D64" s="300"/>
      <c r="E64" s="300"/>
      <c r="F64" s="300"/>
      <c r="G64" s="300"/>
      <c r="H64" s="305"/>
      <c r="I64" s="349"/>
      <c r="J64" s="343"/>
      <c r="K64" s="343"/>
      <c r="L64" s="367"/>
      <c r="M64" s="368"/>
      <c r="N64" s="347"/>
      <c r="O64" s="348" t="str">
        <f t="shared" si="4"/>
        <v> </v>
      </c>
      <c r="P64" s="307"/>
      <c r="R64" s="349"/>
      <c r="S64" s="343"/>
      <c r="T64" s="343"/>
      <c r="U64" s="367"/>
      <c r="V64" s="368"/>
      <c r="W64" s="347"/>
      <c r="X64" s="348" t="str">
        <f t="shared" si="5"/>
        <v> </v>
      </c>
      <c r="AA64" s="349"/>
      <c r="AB64" s="343"/>
      <c r="AC64" s="343"/>
      <c r="AD64" s="367"/>
      <c r="AE64" s="368"/>
      <c r="AF64" s="347"/>
      <c r="AG64" s="348" t="str">
        <f t="shared" si="6"/>
        <v> </v>
      </c>
    </row>
    <row r="65" ht="29.25" customHeight="1">
      <c r="A65" s="305"/>
      <c r="B65" s="301"/>
      <c r="C65" s="301"/>
      <c r="D65" s="300"/>
      <c r="E65" s="300"/>
      <c r="F65" s="300"/>
      <c r="G65" s="300"/>
      <c r="H65" s="305"/>
      <c r="I65" s="349"/>
      <c r="J65" s="343"/>
      <c r="K65" s="343"/>
      <c r="L65" s="367"/>
      <c r="M65" s="368"/>
      <c r="N65" s="347"/>
      <c r="O65" s="348" t="str">
        <f t="shared" si="4"/>
        <v> </v>
      </c>
      <c r="P65" s="307"/>
      <c r="R65" s="349"/>
      <c r="S65" s="343"/>
      <c r="T65" s="343"/>
      <c r="U65" s="367"/>
      <c r="V65" s="368"/>
      <c r="W65" s="347"/>
      <c r="X65" s="348" t="str">
        <f t="shared" si="5"/>
        <v> </v>
      </c>
      <c r="AA65" s="349"/>
      <c r="AB65" s="343"/>
      <c r="AC65" s="343"/>
      <c r="AD65" s="367"/>
      <c r="AE65" s="368"/>
      <c r="AF65" s="347"/>
      <c r="AG65" s="348" t="str">
        <f t="shared" si="6"/>
        <v> </v>
      </c>
    </row>
    <row r="66" ht="15.75" customHeight="1">
      <c r="A66" s="305"/>
      <c r="B66" s="301"/>
      <c r="C66" s="301"/>
      <c r="D66" s="300"/>
      <c r="E66" s="300"/>
      <c r="F66" s="300"/>
      <c r="G66" s="300"/>
      <c r="H66" s="305"/>
      <c r="I66" s="349"/>
      <c r="J66" s="343"/>
      <c r="K66" s="343"/>
      <c r="L66" s="367"/>
      <c r="M66" s="368"/>
      <c r="N66" s="347"/>
      <c r="O66" s="348" t="str">
        <f t="shared" si="4"/>
        <v> </v>
      </c>
      <c r="P66" s="307"/>
      <c r="R66" s="349"/>
      <c r="S66" s="343"/>
      <c r="T66" s="343"/>
      <c r="U66" s="367"/>
      <c r="V66" s="368"/>
      <c r="W66" s="347"/>
      <c r="X66" s="348" t="str">
        <f t="shared" si="5"/>
        <v> </v>
      </c>
      <c r="AA66" s="349"/>
      <c r="AB66" s="343"/>
      <c r="AC66" s="343"/>
      <c r="AD66" s="367"/>
      <c r="AE66" s="368"/>
      <c r="AF66" s="347"/>
      <c r="AG66" s="348" t="str">
        <f t="shared" si="6"/>
        <v> </v>
      </c>
    </row>
    <row r="67" ht="31.5" customHeight="1">
      <c r="A67" s="305"/>
      <c r="B67" s="301"/>
      <c r="C67" s="301"/>
      <c r="D67" s="300"/>
      <c r="E67" s="300"/>
      <c r="F67" s="300"/>
      <c r="G67" s="300"/>
      <c r="H67" s="305"/>
      <c r="I67" s="349"/>
      <c r="J67" s="343"/>
      <c r="K67" s="343"/>
      <c r="L67" s="367"/>
      <c r="M67" s="368"/>
      <c r="N67" s="347"/>
      <c r="O67" s="348" t="str">
        <f t="shared" si="4"/>
        <v> </v>
      </c>
      <c r="P67" s="307"/>
      <c r="R67" s="349"/>
      <c r="S67" s="343"/>
      <c r="T67" s="343"/>
      <c r="U67" s="367"/>
      <c r="V67" s="368"/>
      <c r="W67" s="347"/>
      <c r="X67" s="348" t="str">
        <f t="shared" si="5"/>
        <v> </v>
      </c>
      <c r="AA67" s="349"/>
      <c r="AB67" s="343"/>
      <c r="AC67" s="343"/>
      <c r="AD67" s="367"/>
      <c r="AE67" s="368"/>
      <c r="AF67" s="347"/>
      <c r="AG67" s="348" t="str">
        <f t="shared" si="6"/>
        <v> </v>
      </c>
    </row>
    <row r="68" ht="15.75" customHeight="1">
      <c r="A68" s="305"/>
      <c r="B68" s="301"/>
      <c r="C68" s="301"/>
      <c r="D68" s="300"/>
      <c r="E68" s="300"/>
      <c r="F68" s="300"/>
      <c r="G68" s="300"/>
      <c r="H68" s="305"/>
      <c r="I68" s="349"/>
      <c r="J68" s="343"/>
      <c r="K68" s="343"/>
      <c r="L68" s="367"/>
      <c r="M68" s="368"/>
      <c r="N68" s="347"/>
      <c r="O68" s="348" t="str">
        <f t="shared" si="4"/>
        <v> </v>
      </c>
      <c r="P68" s="307"/>
      <c r="R68" s="349"/>
      <c r="S68" s="343"/>
      <c r="T68" s="343"/>
      <c r="U68" s="367"/>
      <c r="V68" s="368"/>
      <c r="W68" s="347"/>
      <c r="X68" s="348" t="str">
        <f t="shared" si="5"/>
        <v> </v>
      </c>
      <c r="AA68" s="349"/>
      <c r="AB68" s="343"/>
      <c r="AC68" s="343"/>
      <c r="AD68" s="367"/>
      <c r="AE68" s="368"/>
      <c r="AF68" s="347"/>
      <c r="AG68" s="348" t="str">
        <f t="shared" si="6"/>
        <v> </v>
      </c>
    </row>
    <row r="69" ht="15.75" customHeight="1">
      <c r="A69" s="305"/>
      <c r="B69" s="301"/>
      <c r="C69" s="301"/>
      <c r="D69" s="300"/>
      <c r="E69" s="300"/>
      <c r="F69" s="300"/>
      <c r="G69" s="300"/>
      <c r="H69" s="305"/>
      <c r="I69" s="349"/>
      <c r="J69" s="343"/>
      <c r="K69" s="343"/>
      <c r="L69" s="367"/>
      <c r="M69" s="368"/>
      <c r="N69" s="347"/>
      <c r="O69" s="348" t="str">
        <f t="shared" si="4"/>
        <v> </v>
      </c>
      <c r="P69" s="307"/>
      <c r="R69" s="349"/>
      <c r="S69" s="343"/>
      <c r="T69" s="343"/>
      <c r="U69" s="367"/>
      <c r="V69" s="368"/>
      <c r="W69" s="347"/>
      <c r="X69" s="348" t="str">
        <f t="shared" si="5"/>
        <v> </v>
      </c>
      <c r="AA69" s="349"/>
      <c r="AB69" s="343"/>
      <c r="AC69" s="343"/>
      <c r="AD69" s="367"/>
      <c r="AE69" s="368"/>
      <c r="AF69" s="347"/>
      <c r="AG69" s="348" t="str">
        <f t="shared" si="6"/>
        <v> </v>
      </c>
    </row>
    <row r="70" ht="15.75" customHeight="1">
      <c r="A70" s="305"/>
      <c r="B70" s="301"/>
      <c r="C70" s="301"/>
      <c r="D70" s="300"/>
      <c r="E70" s="300"/>
      <c r="F70" s="300"/>
      <c r="G70" s="300"/>
      <c r="H70" s="305"/>
      <c r="I70" s="349"/>
      <c r="J70" s="343"/>
      <c r="K70" s="343"/>
      <c r="L70" s="367"/>
      <c r="M70" s="368"/>
      <c r="N70" s="347"/>
      <c r="O70" s="348" t="str">
        <f t="shared" si="4"/>
        <v> </v>
      </c>
      <c r="P70" s="307"/>
      <c r="R70" s="349"/>
      <c r="S70" s="343"/>
      <c r="T70" s="343"/>
      <c r="U70" s="367"/>
      <c r="V70" s="368"/>
      <c r="W70" s="347"/>
      <c r="X70" s="348" t="str">
        <f t="shared" si="5"/>
        <v> </v>
      </c>
      <c r="AA70" s="349"/>
      <c r="AB70" s="343"/>
      <c r="AC70" s="343"/>
      <c r="AD70" s="367"/>
      <c r="AE70" s="368"/>
      <c r="AF70" s="347"/>
      <c r="AG70" s="348" t="str">
        <f t="shared" si="6"/>
        <v> </v>
      </c>
    </row>
    <row r="71" ht="27.75" customHeight="1">
      <c r="A71" s="305"/>
      <c r="B71" s="301"/>
      <c r="C71" s="301"/>
      <c r="D71" s="300"/>
      <c r="E71" s="300"/>
      <c r="F71" s="300"/>
      <c r="G71" s="300"/>
      <c r="H71" s="305"/>
      <c r="I71" s="349"/>
      <c r="J71" s="343"/>
      <c r="K71" s="343"/>
      <c r="L71" s="367"/>
      <c r="M71" s="367"/>
      <c r="N71" s="347"/>
      <c r="O71" s="348" t="str">
        <f t="shared" si="4"/>
        <v> </v>
      </c>
      <c r="P71" s="307"/>
      <c r="R71" s="349"/>
      <c r="S71" s="343"/>
      <c r="T71" s="343"/>
      <c r="U71" s="367"/>
      <c r="V71" s="367"/>
      <c r="W71" s="347"/>
      <c r="X71" s="348" t="str">
        <f t="shared" si="5"/>
        <v> </v>
      </c>
      <c r="AA71" s="349"/>
      <c r="AB71" s="343"/>
      <c r="AC71" s="343"/>
      <c r="AD71" s="367"/>
      <c r="AE71" s="367"/>
      <c r="AF71" s="347"/>
      <c r="AG71" s="348" t="str">
        <f t="shared" si="6"/>
        <v> </v>
      </c>
    </row>
    <row r="72" ht="15.75" customHeight="1">
      <c r="A72" s="305"/>
      <c r="B72" s="301"/>
      <c r="C72" s="301"/>
      <c r="D72" s="300"/>
      <c r="E72" s="300"/>
      <c r="F72" s="300"/>
      <c r="G72" s="300"/>
      <c r="H72" s="305"/>
      <c r="I72" s="349"/>
      <c r="J72" s="343"/>
      <c r="K72" s="343"/>
      <c r="L72" s="367"/>
      <c r="M72" s="368"/>
      <c r="N72" s="347"/>
      <c r="O72" s="348" t="str">
        <f t="shared" si="4"/>
        <v> </v>
      </c>
      <c r="P72" s="307"/>
      <c r="R72" s="349"/>
      <c r="S72" s="343"/>
      <c r="T72" s="343"/>
      <c r="U72" s="367"/>
      <c r="V72" s="368"/>
      <c r="W72" s="347"/>
      <c r="X72" s="348" t="str">
        <f t="shared" si="5"/>
        <v> </v>
      </c>
      <c r="AA72" s="349"/>
      <c r="AB72" s="343"/>
      <c r="AC72" s="343"/>
      <c r="AD72" s="367"/>
      <c r="AE72" s="368"/>
      <c r="AF72" s="347"/>
      <c r="AG72" s="348" t="str">
        <f t="shared" si="6"/>
        <v> </v>
      </c>
    </row>
    <row r="73" ht="45.0" customHeight="1">
      <c r="A73" s="305"/>
      <c r="B73" s="301"/>
      <c r="C73" s="301"/>
      <c r="D73" s="300"/>
      <c r="E73" s="300"/>
      <c r="F73" s="300"/>
      <c r="G73" s="300"/>
      <c r="H73" s="305"/>
      <c r="I73" s="349"/>
      <c r="J73" s="343"/>
      <c r="K73" s="343"/>
      <c r="L73" s="367"/>
      <c r="M73" s="367"/>
      <c r="N73" s="347"/>
      <c r="O73" s="348" t="str">
        <f t="shared" si="4"/>
        <v> </v>
      </c>
      <c r="P73" s="307"/>
      <c r="R73" s="349"/>
      <c r="S73" s="343"/>
      <c r="T73" s="343"/>
      <c r="U73" s="367"/>
      <c r="V73" s="367"/>
      <c r="W73" s="347"/>
      <c r="X73" s="348" t="str">
        <f t="shared" si="5"/>
        <v> </v>
      </c>
      <c r="AA73" s="349"/>
      <c r="AB73" s="343"/>
      <c r="AC73" s="343"/>
      <c r="AD73" s="367"/>
      <c r="AE73" s="367"/>
      <c r="AF73" s="347"/>
      <c r="AG73" s="348" t="str">
        <f t="shared" si="6"/>
        <v> </v>
      </c>
    </row>
    <row r="74" ht="15.75" customHeight="1">
      <c r="A74" s="305"/>
      <c r="B74" s="301"/>
      <c r="C74" s="301"/>
      <c r="D74" s="300"/>
      <c r="E74" s="300"/>
      <c r="F74" s="300"/>
      <c r="G74" s="300"/>
      <c r="H74" s="305"/>
      <c r="I74" s="349"/>
      <c r="J74" s="343"/>
      <c r="K74" s="343"/>
      <c r="L74" s="367"/>
      <c r="M74" s="368"/>
      <c r="N74" s="347"/>
      <c r="O74" s="348" t="str">
        <f t="shared" si="4"/>
        <v> </v>
      </c>
      <c r="P74" s="307"/>
      <c r="R74" s="349"/>
      <c r="S74" s="343"/>
      <c r="T74" s="343"/>
      <c r="U74" s="367"/>
      <c r="V74" s="368"/>
      <c r="W74" s="347"/>
      <c r="X74" s="348" t="str">
        <f t="shared" si="5"/>
        <v> </v>
      </c>
      <c r="AA74" s="349"/>
      <c r="AB74" s="343"/>
      <c r="AC74" s="343"/>
      <c r="AD74" s="367"/>
      <c r="AE74" s="368"/>
      <c r="AF74" s="347"/>
      <c r="AG74" s="348" t="str">
        <f t="shared" si="6"/>
        <v> </v>
      </c>
    </row>
    <row r="75" ht="15.75" customHeight="1">
      <c r="A75" s="305"/>
      <c r="B75" s="301"/>
      <c r="C75" s="301"/>
      <c r="D75" s="300"/>
      <c r="E75" s="300"/>
      <c r="F75" s="300"/>
      <c r="G75" s="300"/>
      <c r="H75" s="305"/>
      <c r="I75" s="349"/>
      <c r="J75" s="343"/>
      <c r="K75" s="343"/>
      <c r="L75" s="367"/>
      <c r="M75" s="368"/>
      <c r="N75" s="347"/>
      <c r="O75" s="348" t="str">
        <f t="shared" si="4"/>
        <v> </v>
      </c>
      <c r="P75" s="307"/>
      <c r="R75" s="349"/>
      <c r="S75" s="343"/>
      <c r="T75" s="343"/>
      <c r="U75" s="367"/>
      <c r="V75" s="368"/>
      <c r="W75" s="347"/>
      <c r="X75" s="348" t="str">
        <f t="shared" si="5"/>
        <v> </v>
      </c>
      <c r="AA75" s="349"/>
      <c r="AB75" s="343"/>
      <c r="AC75" s="343"/>
      <c r="AD75" s="367"/>
      <c r="AE75" s="368"/>
      <c r="AF75" s="347"/>
      <c r="AG75" s="348" t="str">
        <f t="shared" si="6"/>
        <v> </v>
      </c>
    </row>
    <row r="76" ht="15.75" customHeight="1">
      <c r="A76" s="305"/>
      <c r="B76" s="301"/>
      <c r="C76" s="301"/>
      <c r="D76" s="300"/>
      <c r="E76" s="300"/>
      <c r="F76" s="300"/>
      <c r="G76" s="300"/>
      <c r="H76" s="305"/>
      <c r="I76" s="349"/>
      <c r="J76" s="343"/>
      <c r="K76" s="343"/>
      <c r="L76" s="367"/>
      <c r="M76" s="367"/>
      <c r="N76" s="347"/>
      <c r="O76" s="348" t="str">
        <f t="shared" si="4"/>
        <v> </v>
      </c>
      <c r="P76" s="307"/>
      <c r="R76" s="349"/>
      <c r="S76" s="343"/>
      <c r="T76" s="343"/>
      <c r="U76" s="367"/>
      <c r="V76" s="367"/>
      <c r="W76" s="347"/>
      <c r="X76" s="348" t="str">
        <f t="shared" si="5"/>
        <v> </v>
      </c>
      <c r="AA76" s="349"/>
      <c r="AB76" s="343"/>
      <c r="AC76" s="343"/>
      <c r="AD76" s="367"/>
      <c r="AE76" s="367"/>
      <c r="AF76" s="347"/>
      <c r="AG76" s="348" t="str">
        <f t="shared" si="6"/>
        <v> </v>
      </c>
    </row>
    <row r="77" ht="15.75" customHeight="1">
      <c r="A77" s="305"/>
      <c r="B77" s="301"/>
      <c r="C77" s="301"/>
      <c r="D77" s="300"/>
      <c r="E77" s="300"/>
      <c r="F77" s="300"/>
      <c r="G77" s="300"/>
      <c r="H77" s="305"/>
      <c r="I77" s="349"/>
      <c r="J77" s="343"/>
      <c r="K77" s="343"/>
      <c r="L77" s="367"/>
      <c r="M77" s="368"/>
      <c r="N77" s="347"/>
      <c r="O77" s="348" t="str">
        <f t="shared" si="4"/>
        <v> </v>
      </c>
      <c r="P77" s="307"/>
      <c r="R77" s="349"/>
      <c r="S77" s="343"/>
      <c r="T77" s="343"/>
      <c r="U77" s="367"/>
      <c r="V77" s="368"/>
      <c r="W77" s="347"/>
      <c r="X77" s="348" t="str">
        <f t="shared" si="5"/>
        <v> </v>
      </c>
      <c r="AA77" s="349"/>
      <c r="AB77" s="343"/>
      <c r="AC77" s="343"/>
      <c r="AD77" s="367"/>
      <c r="AE77" s="368"/>
      <c r="AF77" s="347"/>
      <c r="AG77" s="348" t="str">
        <f t="shared" si="6"/>
        <v> </v>
      </c>
    </row>
    <row r="78" ht="15.75" customHeight="1">
      <c r="A78" s="305"/>
      <c r="B78" s="301"/>
      <c r="C78" s="301"/>
      <c r="D78" s="300"/>
      <c r="E78" s="300"/>
      <c r="F78" s="300"/>
      <c r="G78" s="300"/>
      <c r="H78" s="305"/>
      <c r="I78" s="349"/>
      <c r="J78" s="343"/>
      <c r="K78" s="343"/>
      <c r="L78" s="367"/>
      <c r="M78" s="368"/>
      <c r="N78" s="347"/>
      <c r="O78" s="348" t="str">
        <f t="shared" si="4"/>
        <v> </v>
      </c>
      <c r="P78" s="307"/>
      <c r="R78" s="349"/>
      <c r="S78" s="343"/>
      <c r="T78" s="343"/>
      <c r="U78" s="367"/>
      <c r="V78" s="368"/>
      <c r="W78" s="347"/>
      <c r="X78" s="348" t="str">
        <f t="shared" si="5"/>
        <v> </v>
      </c>
      <c r="AA78" s="349"/>
      <c r="AB78" s="343"/>
      <c r="AC78" s="343"/>
      <c r="AD78" s="367"/>
      <c r="AE78" s="368"/>
      <c r="AF78" s="347"/>
      <c r="AG78" s="348" t="str">
        <f t="shared" si="6"/>
        <v> </v>
      </c>
    </row>
    <row r="79" ht="15.75" customHeight="1">
      <c r="A79" s="305"/>
      <c r="B79" s="301"/>
      <c r="C79" s="301"/>
      <c r="D79" s="300"/>
      <c r="E79" s="300"/>
      <c r="F79" s="300"/>
      <c r="G79" s="300"/>
      <c r="H79" s="305"/>
      <c r="I79" s="349"/>
      <c r="J79" s="369"/>
      <c r="K79" s="343"/>
      <c r="L79" s="367"/>
      <c r="M79" s="368"/>
      <c r="N79" s="347"/>
      <c r="O79" s="348" t="str">
        <f t="shared" si="4"/>
        <v> </v>
      </c>
      <c r="P79" s="307"/>
      <c r="R79" s="349"/>
      <c r="S79" s="369"/>
      <c r="T79" s="343"/>
      <c r="U79" s="367"/>
      <c r="V79" s="368"/>
      <c r="W79" s="347"/>
      <c r="X79" s="348" t="str">
        <f t="shared" si="5"/>
        <v> </v>
      </c>
      <c r="AA79" s="349"/>
      <c r="AB79" s="369"/>
      <c r="AC79" s="343"/>
      <c r="AD79" s="367"/>
      <c r="AE79" s="368"/>
      <c r="AF79" s="347"/>
      <c r="AG79" s="348" t="str">
        <f t="shared" si="6"/>
        <v> </v>
      </c>
    </row>
    <row r="80" ht="15.75" customHeight="1">
      <c r="A80" s="305"/>
      <c r="B80" s="301"/>
      <c r="C80" s="301"/>
      <c r="D80" s="300"/>
      <c r="E80" s="300"/>
      <c r="F80" s="300"/>
      <c r="G80" s="300"/>
      <c r="H80" s="305"/>
      <c r="I80" s="349"/>
      <c r="J80" s="369"/>
      <c r="K80" s="343"/>
      <c r="L80" s="367"/>
      <c r="M80" s="368"/>
      <c r="N80" s="347"/>
      <c r="O80" s="348" t="str">
        <f t="shared" si="4"/>
        <v> </v>
      </c>
      <c r="P80" s="307"/>
      <c r="R80" s="349"/>
      <c r="S80" s="369"/>
      <c r="T80" s="343"/>
      <c r="U80" s="367"/>
      <c r="V80" s="368"/>
      <c r="W80" s="347"/>
      <c r="X80" s="348" t="str">
        <f t="shared" si="5"/>
        <v> </v>
      </c>
      <c r="AA80" s="349"/>
      <c r="AB80" s="369"/>
      <c r="AC80" s="343"/>
      <c r="AD80" s="367"/>
      <c r="AE80" s="368"/>
      <c r="AF80" s="347"/>
      <c r="AG80" s="348" t="str">
        <f t="shared" si="6"/>
        <v> </v>
      </c>
    </row>
    <row r="81" ht="15.75" customHeight="1">
      <c r="A81" s="305"/>
      <c r="B81" s="301"/>
      <c r="C81" s="301"/>
      <c r="D81" s="300"/>
      <c r="E81" s="300"/>
      <c r="F81" s="300"/>
      <c r="G81" s="300"/>
      <c r="H81" s="305"/>
      <c r="I81" s="349"/>
      <c r="J81" s="343"/>
      <c r="K81" s="343"/>
      <c r="L81" s="367"/>
      <c r="M81" s="368"/>
      <c r="N81" s="347"/>
      <c r="O81" s="348" t="str">
        <f t="shared" si="4"/>
        <v> </v>
      </c>
      <c r="P81" s="307"/>
      <c r="R81" s="349"/>
      <c r="S81" s="343"/>
      <c r="T81" s="343"/>
      <c r="U81" s="367"/>
      <c r="V81" s="368"/>
      <c r="W81" s="347"/>
      <c r="X81" s="348" t="str">
        <f t="shared" si="5"/>
        <v> </v>
      </c>
      <c r="AA81" s="349"/>
      <c r="AB81" s="343"/>
      <c r="AC81" s="343"/>
      <c r="AD81" s="367"/>
      <c r="AE81" s="368"/>
      <c r="AF81" s="347"/>
      <c r="AG81" s="348" t="str">
        <f t="shared" si="6"/>
        <v> </v>
      </c>
    </row>
    <row r="82" ht="15.75" customHeight="1">
      <c r="A82" s="305"/>
      <c r="B82" s="301"/>
      <c r="C82" s="301"/>
      <c r="D82" s="300"/>
      <c r="E82" s="300"/>
      <c r="F82" s="300"/>
      <c r="G82" s="300"/>
      <c r="H82" s="305"/>
      <c r="I82" s="349"/>
      <c r="J82" s="343"/>
      <c r="K82" s="343"/>
      <c r="L82" s="367"/>
      <c r="M82" s="368"/>
      <c r="N82" s="347"/>
      <c r="O82" s="348" t="str">
        <f t="shared" si="4"/>
        <v> </v>
      </c>
      <c r="P82" s="307"/>
      <c r="R82" s="349"/>
      <c r="S82" s="343"/>
      <c r="T82" s="343"/>
      <c r="U82" s="367"/>
      <c r="V82" s="368"/>
      <c r="W82" s="347"/>
      <c r="X82" s="348" t="str">
        <f t="shared" si="5"/>
        <v> </v>
      </c>
      <c r="AA82" s="349"/>
      <c r="AB82" s="343"/>
      <c r="AC82" s="343"/>
      <c r="AD82" s="367"/>
      <c r="AE82" s="368"/>
      <c r="AF82" s="347"/>
      <c r="AG82" s="348" t="str">
        <f t="shared" si="6"/>
        <v> </v>
      </c>
    </row>
    <row r="83" ht="15.75" customHeight="1">
      <c r="A83" s="305"/>
      <c r="B83" s="301"/>
      <c r="C83" s="301"/>
      <c r="D83" s="300"/>
      <c r="E83" s="300"/>
      <c r="F83" s="300"/>
      <c r="G83" s="300"/>
      <c r="H83" s="305"/>
      <c r="I83" s="349"/>
      <c r="J83" s="343"/>
      <c r="K83" s="343"/>
      <c r="L83" s="367"/>
      <c r="M83" s="368"/>
      <c r="N83" s="347"/>
      <c r="O83" s="348" t="str">
        <f t="shared" si="4"/>
        <v> </v>
      </c>
      <c r="P83" s="307"/>
      <c r="R83" s="349"/>
      <c r="S83" s="343"/>
      <c r="T83" s="343"/>
      <c r="U83" s="367"/>
      <c r="V83" s="368"/>
      <c r="W83" s="347"/>
      <c r="X83" s="348" t="str">
        <f t="shared" si="5"/>
        <v> </v>
      </c>
      <c r="AA83" s="349"/>
      <c r="AB83" s="343"/>
      <c r="AC83" s="343"/>
      <c r="AD83" s="367"/>
      <c r="AE83" s="368"/>
      <c r="AF83" s="347"/>
      <c r="AG83" s="348" t="str">
        <f t="shared" si="6"/>
        <v> </v>
      </c>
    </row>
    <row r="84" ht="15.75" customHeight="1">
      <c r="A84" s="305"/>
      <c r="B84" s="301"/>
      <c r="C84" s="301"/>
      <c r="D84" s="300"/>
      <c r="E84" s="300"/>
      <c r="F84" s="300"/>
      <c r="G84" s="300"/>
      <c r="H84" s="305"/>
      <c r="I84" s="349"/>
      <c r="J84" s="369"/>
      <c r="K84" s="343"/>
      <c r="L84" s="367"/>
      <c r="M84" s="368"/>
      <c r="N84" s="347"/>
      <c r="O84" s="348" t="str">
        <f t="shared" si="4"/>
        <v> </v>
      </c>
      <c r="P84" s="307"/>
      <c r="R84" s="349"/>
      <c r="S84" s="369"/>
      <c r="T84" s="343"/>
      <c r="U84" s="367"/>
      <c r="V84" s="368"/>
      <c r="W84" s="347"/>
      <c r="X84" s="348" t="str">
        <f t="shared" si="5"/>
        <v> </v>
      </c>
      <c r="AA84" s="349"/>
      <c r="AB84" s="369"/>
      <c r="AC84" s="343"/>
      <c r="AD84" s="367"/>
      <c r="AE84" s="368"/>
      <c r="AF84" s="347"/>
      <c r="AG84" s="348" t="str">
        <f t="shared" si="6"/>
        <v> </v>
      </c>
    </row>
    <row r="85" ht="15.75" customHeight="1">
      <c r="A85" s="305"/>
      <c r="B85" s="301"/>
      <c r="C85" s="301"/>
      <c r="D85" s="300"/>
      <c r="E85" s="300"/>
      <c r="F85" s="300"/>
      <c r="G85" s="300"/>
      <c r="H85" s="305"/>
      <c r="I85" s="349"/>
      <c r="J85" s="343"/>
      <c r="K85" s="343"/>
      <c r="L85" s="367"/>
      <c r="M85" s="367"/>
      <c r="N85" s="370"/>
      <c r="O85" s="348" t="str">
        <f t="shared" si="4"/>
        <v> </v>
      </c>
      <c r="P85" s="307"/>
      <c r="R85" s="349"/>
      <c r="S85" s="343"/>
      <c r="T85" s="343"/>
      <c r="U85" s="367"/>
      <c r="V85" s="367"/>
      <c r="W85" s="370"/>
      <c r="X85" s="348" t="str">
        <f t="shared" si="5"/>
        <v> </v>
      </c>
      <c r="AA85" s="349"/>
      <c r="AB85" s="343"/>
      <c r="AC85" s="343"/>
      <c r="AD85" s="367"/>
      <c r="AE85" s="367"/>
      <c r="AF85" s="370"/>
      <c r="AG85" s="348" t="str">
        <f t="shared" si="6"/>
        <v> </v>
      </c>
    </row>
    <row r="86" ht="15.75" customHeight="1">
      <c r="A86" s="305"/>
      <c r="B86" s="301"/>
      <c r="C86" s="301"/>
      <c r="D86" s="300"/>
      <c r="E86" s="300"/>
      <c r="F86" s="300"/>
      <c r="G86" s="300"/>
      <c r="H86" s="305"/>
      <c r="I86" s="349"/>
      <c r="J86" s="343"/>
      <c r="K86" s="343"/>
      <c r="L86" s="367"/>
      <c r="M86" s="368"/>
      <c r="N86" s="347"/>
      <c r="O86" s="348" t="str">
        <f t="shared" si="4"/>
        <v> </v>
      </c>
      <c r="P86" s="307"/>
      <c r="R86" s="349"/>
      <c r="S86" s="343"/>
      <c r="T86" s="343"/>
      <c r="U86" s="367"/>
      <c r="V86" s="368"/>
      <c r="W86" s="347"/>
      <c r="X86" s="348" t="str">
        <f t="shared" si="5"/>
        <v> </v>
      </c>
      <c r="AA86" s="349"/>
      <c r="AB86" s="343"/>
      <c r="AC86" s="343"/>
      <c r="AD86" s="367"/>
      <c r="AE86" s="368"/>
      <c r="AF86" s="347"/>
      <c r="AG86" s="348" t="str">
        <f t="shared" si="6"/>
        <v> </v>
      </c>
    </row>
    <row r="87" ht="15.75" customHeight="1">
      <c r="A87" s="305"/>
      <c r="B87" s="301"/>
      <c r="C87" s="301"/>
      <c r="D87" s="300"/>
      <c r="E87" s="300"/>
      <c r="F87" s="300"/>
      <c r="G87" s="300"/>
      <c r="H87" s="305"/>
      <c r="I87" s="349"/>
      <c r="J87" s="369"/>
      <c r="K87" s="343"/>
      <c r="L87" s="367"/>
      <c r="M87" s="368"/>
      <c r="N87" s="347"/>
      <c r="O87" s="348" t="str">
        <f t="shared" si="4"/>
        <v> </v>
      </c>
      <c r="P87" s="307"/>
      <c r="R87" s="349"/>
      <c r="S87" s="369"/>
      <c r="T87" s="343"/>
      <c r="U87" s="367"/>
      <c r="V87" s="368"/>
      <c r="W87" s="347"/>
      <c r="X87" s="348" t="str">
        <f t="shared" si="5"/>
        <v> </v>
      </c>
      <c r="AA87" s="349"/>
      <c r="AB87" s="369"/>
      <c r="AC87" s="343"/>
      <c r="AD87" s="367"/>
      <c r="AE87" s="368"/>
      <c r="AF87" s="347"/>
      <c r="AG87" s="348" t="str">
        <f t="shared" si="6"/>
        <v> </v>
      </c>
    </row>
    <row r="88" ht="15.75" customHeight="1">
      <c r="A88" s="305"/>
      <c r="B88" s="301"/>
      <c r="C88" s="301"/>
      <c r="D88" s="300"/>
      <c r="E88" s="300"/>
      <c r="F88" s="300"/>
      <c r="G88" s="300"/>
      <c r="H88" s="305"/>
      <c r="I88" s="349"/>
      <c r="J88" s="369"/>
      <c r="K88" s="343"/>
      <c r="L88" s="367"/>
      <c r="M88" s="368"/>
      <c r="N88" s="347"/>
      <c r="O88" s="348" t="str">
        <f t="shared" si="4"/>
        <v> </v>
      </c>
      <c r="P88" s="307"/>
      <c r="R88" s="349"/>
      <c r="S88" s="369"/>
      <c r="T88" s="343"/>
      <c r="U88" s="367"/>
      <c r="V88" s="368"/>
      <c r="W88" s="347"/>
      <c r="X88" s="348" t="str">
        <f t="shared" si="5"/>
        <v> </v>
      </c>
      <c r="AA88" s="349"/>
      <c r="AB88" s="369"/>
      <c r="AC88" s="343"/>
      <c r="AD88" s="367"/>
      <c r="AE88" s="368"/>
      <c r="AF88" s="347"/>
      <c r="AG88" s="348" t="str">
        <f t="shared" si="6"/>
        <v> </v>
      </c>
    </row>
    <row r="89" ht="15.75" customHeight="1">
      <c r="A89" s="305"/>
      <c r="B89" s="301"/>
      <c r="C89" s="301"/>
      <c r="D89" s="300"/>
      <c r="E89" s="300"/>
      <c r="F89" s="300"/>
      <c r="G89" s="300"/>
      <c r="H89" s="305"/>
      <c r="I89" s="349"/>
      <c r="J89" s="369"/>
      <c r="K89" s="343"/>
      <c r="L89" s="367"/>
      <c r="M89" s="368"/>
      <c r="N89" s="347"/>
      <c r="O89" s="348" t="str">
        <f t="shared" si="4"/>
        <v> </v>
      </c>
      <c r="P89" s="307"/>
      <c r="R89" s="349"/>
      <c r="S89" s="369"/>
      <c r="T89" s="343"/>
      <c r="U89" s="367"/>
      <c r="V89" s="368"/>
      <c r="W89" s="347"/>
      <c r="X89" s="348" t="str">
        <f t="shared" si="5"/>
        <v> </v>
      </c>
      <c r="AA89" s="349"/>
      <c r="AB89" s="369"/>
      <c r="AC89" s="343"/>
      <c r="AD89" s="367"/>
      <c r="AE89" s="368"/>
      <c r="AF89" s="347"/>
      <c r="AG89" s="348" t="str">
        <f t="shared" si="6"/>
        <v> </v>
      </c>
    </row>
    <row r="90" ht="15.75" customHeight="1">
      <c r="A90" s="305"/>
      <c r="B90" s="301"/>
      <c r="C90" s="301"/>
      <c r="D90" s="300"/>
      <c r="E90" s="300"/>
      <c r="F90" s="300"/>
      <c r="G90" s="300"/>
      <c r="H90" s="305"/>
      <c r="I90" s="349"/>
      <c r="J90" s="369"/>
      <c r="K90" s="343"/>
      <c r="L90" s="367"/>
      <c r="M90" s="368"/>
      <c r="N90" s="347"/>
      <c r="O90" s="348" t="str">
        <f t="shared" si="4"/>
        <v> </v>
      </c>
      <c r="P90" s="307"/>
      <c r="R90" s="349"/>
      <c r="S90" s="369"/>
      <c r="T90" s="343"/>
      <c r="U90" s="367"/>
      <c r="V90" s="368"/>
      <c r="W90" s="347"/>
      <c r="X90" s="348" t="str">
        <f t="shared" si="5"/>
        <v> </v>
      </c>
      <c r="AA90" s="349"/>
      <c r="AB90" s="369"/>
      <c r="AC90" s="343"/>
      <c r="AD90" s="367"/>
      <c r="AE90" s="368"/>
      <c r="AF90" s="347"/>
      <c r="AG90" s="348" t="str">
        <f t="shared" si="6"/>
        <v> </v>
      </c>
    </row>
    <row r="91" ht="15.75" customHeight="1">
      <c r="A91" s="305"/>
      <c r="B91" s="301"/>
      <c r="C91" s="301"/>
      <c r="D91" s="300"/>
      <c r="E91" s="300"/>
      <c r="F91" s="300"/>
      <c r="G91" s="300"/>
      <c r="H91" s="305"/>
      <c r="I91" s="349"/>
      <c r="J91" s="343"/>
      <c r="K91" s="343"/>
      <c r="L91" s="367"/>
      <c r="M91" s="368"/>
      <c r="N91" s="347"/>
      <c r="O91" s="348" t="str">
        <f t="shared" si="4"/>
        <v> </v>
      </c>
      <c r="P91" s="307"/>
      <c r="R91" s="349"/>
      <c r="S91" s="343"/>
      <c r="T91" s="343"/>
      <c r="U91" s="367"/>
      <c r="V91" s="368"/>
      <c r="W91" s="347"/>
      <c r="X91" s="348" t="str">
        <f t="shared" si="5"/>
        <v> </v>
      </c>
      <c r="AA91" s="349"/>
      <c r="AB91" s="343"/>
      <c r="AC91" s="343"/>
      <c r="AD91" s="367"/>
      <c r="AE91" s="368"/>
      <c r="AF91" s="347"/>
      <c r="AG91" s="348" t="str">
        <f t="shared" si="6"/>
        <v> </v>
      </c>
    </row>
    <row r="92" ht="15.75" customHeight="1">
      <c r="A92" s="305"/>
      <c r="B92" s="301"/>
      <c r="C92" s="301"/>
      <c r="D92" s="300"/>
      <c r="E92" s="300"/>
      <c r="F92" s="300"/>
      <c r="G92" s="300"/>
      <c r="H92" s="305"/>
      <c r="I92" s="349"/>
      <c r="J92" s="369"/>
      <c r="K92" s="343"/>
      <c r="L92" s="367"/>
      <c r="M92" s="368"/>
      <c r="N92" s="347"/>
      <c r="O92" s="348" t="str">
        <f t="shared" si="4"/>
        <v> </v>
      </c>
      <c r="P92" s="307"/>
      <c r="R92" s="349"/>
      <c r="S92" s="369"/>
      <c r="T92" s="343"/>
      <c r="U92" s="367"/>
      <c r="V92" s="368"/>
      <c r="W92" s="347"/>
      <c r="X92" s="348" t="str">
        <f t="shared" si="5"/>
        <v> </v>
      </c>
      <c r="AA92" s="349"/>
      <c r="AB92" s="369"/>
      <c r="AC92" s="343"/>
      <c r="AD92" s="367"/>
      <c r="AE92" s="368"/>
      <c r="AF92" s="347"/>
      <c r="AG92" s="348" t="str">
        <f t="shared" si="6"/>
        <v> </v>
      </c>
    </row>
    <row r="93" ht="15.75" customHeight="1">
      <c r="A93" s="305"/>
      <c r="B93" s="301"/>
      <c r="C93" s="301"/>
      <c r="D93" s="300"/>
      <c r="E93" s="300"/>
      <c r="F93" s="300"/>
      <c r="G93" s="300"/>
      <c r="H93" s="305"/>
      <c r="I93" s="349"/>
      <c r="J93" s="343"/>
      <c r="K93" s="343"/>
      <c r="L93" s="367"/>
      <c r="M93" s="368"/>
      <c r="N93" s="347"/>
      <c r="O93" s="348" t="str">
        <f t="shared" si="4"/>
        <v> </v>
      </c>
      <c r="P93" s="307"/>
      <c r="R93" s="349"/>
      <c r="S93" s="343"/>
      <c r="T93" s="343"/>
      <c r="U93" s="367"/>
      <c r="V93" s="368"/>
      <c r="W93" s="347"/>
      <c r="X93" s="348" t="str">
        <f t="shared" si="5"/>
        <v> </v>
      </c>
      <c r="AA93" s="349"/>
      <c r="AB93" s="343"/>
      <c r="AC93" s="343"/>
      <c r="AD93" s="367"/>
      <c r="AE93" s="368"/>
      <c r="AF93" s="347"/>
      <c r="AG93" s="348" t="str">
        <f t="shared" si="6"/>
        <v> </v>
      </c>
    </row>
    <row r="94" ht="15.75" customHeight="1">
      <c r="A94" s="305"/>
      <c r="B94" s="301"/>
      <c r="C94" s="301"/>
      <c r="D94" s="300"/>
      <c r="E94" s="300"/>
      <c r="F94" s="300"/>
      <c r="G94" s="300"/>
      <c r="H94" s="305"/>
      <c r="I94" s="349"/>
      <c r="J94" s="369"/>
      <c r="K94" s="343"/>
      <c r="L94" s="367"/>
      <c r="M94" s="367"/>
      <c r="N94" s="347"/>
      <c r="O94" s="348" t="str">
        <f t="shared" si="4"/>
        <v> </v>
      </c>
      <c r="P94" s="307"/>
      <c r="R94" s="349"/>
      <c r="S94" s="369"/>
      <c r="T94" s="343"/>
      <c r="U94" s="367"/>
      <c r="V94" s="367"/>
      <c r="W94" s="347"/>
      <c r="X94" s="348" t="str">
        <f t="shared" si="5"/>
        <v> </v>
      </c>
      <c r="AA94" s="349"/>
      <c r="AB94" s="369"/>
      <c r="AC94" s="343"/>
      <c r="AD94" s="367"/>
      <c r="AE94" s="367"/>
      <c r="AF94" s="347"/>
      <c r="AG94" s="348" t="str">
        <f t="shared" si="6"/>
        <v> </v>
      </c>
    </row>
    <row r="95" ht="15.75" customHeight="1">
      <c r="A95" s="305"/>
      <c r="B95" s="301"/>
      <c r="C95" s="301"/>
      <c r="D95" s="300"/>
      <c r="E95" s="300"/>
      <c r="F95" s="300"/>
      <c r="G95" s="300"/>
      <c r="H95" s="305"/>
      <c r="I95" s="349"/>
      <c r="J95" s="369"/>
      <c r="K95" s="343"/>
      <c r="L95" s="367"/>
      <c r="M95" s="367"/>
      <c r="N95" s="347"/>
      <c r="O95" s="348" t="str">
        <f t="shared" si="4"/>
        <v> </v>
      </c>
      <c r="P95" s="307"/>
      <c r="R95" s="349"/>
      <c r="S95" s="369"/>
      <c r="T95" s="343"/>
      <c r="U95" s="367"/>
      <c r="V95" s="367"/>
      <c r="W95" s="347"/>
      <c r="X95" s="348" t="str">
        <f t="shared" si="5"/>
        <v> </v>
      </c>
      <c r="AA95" s="349"/>
      <c r="AB95" s="369"/>
      <c r="AC95" s="343"/>
      <c r="AD95" s="367"/>
      <c r="AE95" s="367"/>
      <c r="AF95" s="347"/>
      <c r="AG95" s="348" t="str">
        <f t="shared" si="6"/>
        <v> </v>
      </c>
    </row>
    <row r="96" ht="15.75" customHeight="1">
      <c r="A96" s="305"/>
      <c r="B96" s="301"/>
      <c r="C96" s="301"/>
      <c r="D96" s="300"/>
      <c r="E96" s="300"/>
      <c r="F96" s="300"/>
      <c r="G96" s="300"/>
      <c r="H96" s="305"/>
      <c r="I96" s="349"/>
      <c r="J96" s="369"/>
      <c r="K96" s="343"/>
      <c r="L96" s="367"/>
      <c r="M96" s="367"/>
      <c r="N96" s="347"/>
      <c r="O96" s="348" t="str">
        <f t="shared" si="4"/>
        <v> </v>
      </c>
      <c r="P96" s="307"/>
      <c r="R96" s="349"/>
      <c r="S96" s="369"/>
      <c r="T96" s="343"/>
      <c r="U96" s="367"/>
      <c r="V96" s="367"/>
      <c r="W96" s="347"/>
      <c r="X96" s="348" t="str">
        <f t="shared" si="5"/>
        <v> </v>
      </c>
      <c r="AA96" s="349"/>
      <c r="AB96" s="369"/>
      <c r="AC96" s="343"/>
      <c r="AD96" s="367"/>
      <c r="AE96" s="367"/>
      <c r="AF96" s="347"/>
      <c r="AG96" s="348" t="str">
        <f t="shared" si="6"/>
        <v> </v>
      </c>
    </row>
    <row r="97" ht="15.75" customHeight="1">
      <c r="A97" s="305"/>
      <c r="B97" s="301"/>
      <c r="C97" s="301"/>
      <c r="D97" s="300"/>
      <c r="E97" s="300"/>
      <c r="F97" s="300"/>
      <c r="G97" s="300"/>
      <c r="H97" s="305"/>
      <c r="I97" s="349"/>
      <c r="J97" s="343"/>
      <c r="K97" s="343"/>
      <c r="L97" s="367"/>
      <c r="M97" s="367"/>
      <c r="N97" s="347"/>
      <c r="O97" s="348" t="str">
        <f t="shared" si="4"/>
        <v> </v>
      </c>
      <c r="P97" s="307"/>
      <c r="R97" s="349"/>
      <c r="S97" s="343"/>
      <c r="T97" s="343"/>
      <c r="U97" s="367"/>
      <c r="V97" s="367"/>
      <c r="W97" s="347"/>
      <c r="X97" s="348" t="str">
        <f t="shared" si="5"/>
        <v> </v>
      </c>
      <c r="AA97" s="349"/>
      <c r="AB97" s="343"/>
      <c r="AC97" s="343"/>
      <c r="AD97" s="367"/>
      <c r="AE97" s="367"/>
      <c r="AF97" s="347"/>
      <c r="AG97" s="348" t="str">
        <f t="shared" si="6"/>
        <v> </v>
      </c>
    </row>
    <row r="98" ht="15.75" customHeight="1">
      <c r="A98" s="305"/>
      <c r="B98" s="301"/>
      <c r="C98" s="301"/>
      <c r="D98" s="300"/>
      <c r="E98" s="300"/>
      <c r="F98" s="300"/>
      <c r="G98" s="300"/>
      <c r="H98" s="305"/>
      <c r="I98" s="349"/>
      <c r="J98" s="369"/>
      <c r="K98" s="343"/>
      <c r="L98" s="367"/>
      <c r="M98" s="367"/>
      <c r="N98" s="347"/>
      <c r="O98" s="348" t="str">
        <f t="shared" si="4"/>
        <v> </v>
      </c>
      <c r="P98" s="307"/>
      <c r="R98" s="349"/>
      <c r="S98" s="369"/>
      <c r="T98" s="343"/>
      <c r="U98" s="367"/>
      <c r="V98" s="367"/>
      <c r="W98" s="347"/>
      <c r="X98" s="348" t="str">
        <f t="shared" si="5"/>
        <v> </v>
      </c>
      <c r="AA98" s="349"/>
      <c r="AB98" s="369"/>
      <c r="AC98" s="343"/>
      <c r="AD98" s="367"/>
      <c r="AE98" s="367"/>
      <c r="AF98" s="347"/>
      <c r="AG98" s="348" t="str">
        <f t="shared" si="6"/>
        <v> </v>
      </c>
    </row>
    <row r="99" ht="15.75" customHeight="1">
      <c r="A99" s="305"/>
      <c r="B99" s="301"/>
      <c r="C99" s="301"/>
      <c r="D99" s="300"/>
      <c r="E99" s="300"/>
      <c r="F99" s="300"/>
      <c r="G99" s="300"/>
      <c r="H99" s="305"/>
      <c r="I99" s="349"/>
      <c r="J99" s="369"/>
      <c r="K99" s="343"/>
      <c r="L99" s="367"/>
      <c r="M99" s="367"/>
      <c r="N99" s="347"/>
      <c r="O99" s="348" t="str">
        <f t="shared" si="4"/>
        <v> </v>
      </c>
      <c r="P99" s="307"/>
      <c r="R99" s="349"/>
      <c r="S99" s="369"/>
      <c r="T99" s="343"/>
      <c r="U99" s="367"/>
      <c r="V99" s="367"/>
      <c r="W99" s="347"/>
      <c r="X99" s="348" t="str">
        <f t="shared" si="5"/>
        <v> </v>
      </c>
      <c r="AA99" s="349"/>
      <c r="AB99" s="369"/>
      <c r="AC99" s="343"/>
      <c r="AD99" s="367"/>
      <c r="AE99" s="367"/>
      <c r="AF99" s="347"/>
      <c r="AG99" s="348" t="str">
        <f t="shared" si="6"/>
        <v> </v>
      </c>
    </row>
    <row r="100" ht="15.75" customHeight="1">
      <c r="A100" s="305"/>
      <c r="B100" s="301"/>
      <c r="C100" s="301"/>
      <c r="D100" s="300"/>
      <c r="E100" s="300"/>
      <c r="F100" s="300"/>
      <c r="G100" s="300"/>
      <c r="H100" s="305"/>
      <c r="I100" s="349"/>
      <c r="J100" s="369"/>
      <c r="K100" s="343"/>
      <c r="L100" s="367"/>
      <c r="M100" s="367"/>
      <c r="N100" s="347"/>
      <c r="O100" s="348" t="str">
        <f t="shared" si="4"/>
        <v> </v>
      </c>
      <c r="P100" s="307"/>
      <c r="R100" s="349"/>
      <c r="S100" s="369"/>
      <c r="T100" s="343"/>
      <c r="U100" s="367"/>
      <c r="V100" s="367"/>
      <c r="W100" s="347"/>
      <c r="X100" s="348" t="str">
        <f t="shared" si="5"/>
        <v> </v>
      </c>
      <c r="AA100" s="349"/>
      <c r="AB100" s="369"/>
      <c r="AC100" s="343"/>
      <c r="AD100" s="367"/>
      <c r="AE100" s="367"/>
      <c r="AF100" s="347"/>
      <c r="AG100" s="348" t="str">
        <f t="shared" si="6"/>
        <v> </v>
      </c>
    </row>
    <row r="101" ht="15.75" customHeight="1">
      <c r="A101" s="305"/>
      <c r="B101" s="301"/>
      <c r="C101" s="301"/>
      <c r="D101" s="300"/>
      <c r="E101" s="300"/>
      <c r="F101" s="300"/>
      <c r="G101" s="300"/>
      <c r="H101" s="305"/>
      <c r="I101" s="349"/>
      <c r="J101" s="343"/>
      <c r="K101" s="343"/>
      <c r="L101" s="367"/>
      <c r="M101" s="367"/>
      <c r="N101" s="347"/>
      <c r="O101" s="348" t="str">
        <f t="shared" si="4"/>
        <v> </v>
      </c>
      <c r="P101" s="307"/>
      <c r="R101" s="349"/>
      <c r="S101" s="343"/>
      <c r="T101" s="343"/>
      <c r="U101" s="367"/>
      <c r="V101" s="367"/>
      <c r="W101" s="347"/>
      <c r="X101" s="348" t="str">
        <f t="shared" si="5"/>
        <v> </v>
      </c>
      <c r="AA101" s="349"/>
      <c r="AB101" s="343"/>
      <c r="AC101" s="343"/>
      <c r="AD101" s="367"/>
      <c r="AE101" s="367"/>
      <c r="AF101" s="347"/>
      <c r="AG101" s="348" t="str">
        <f t="shared" si="6"/>
        <v> </v>
      </c>
    </row>
    <row r="102" ht="15.75" customHeight="1">
      <c r="A102" s="305"/>
      <c r="B102" s="301"/>
      <c r="C102" s="301"/>
      <c r="D102" s="300"/>
      <c r="E102" s="300"/>
      <c r="F102" s="300"/>
      <c r="G102" s="300"/>
      <c r="H102" s="305"/>
      <c r="I102" s="349"/>
      <c r="J102" s="343"/>
      <c r="K102" s="343"/>
      <c r="L102" s="367"/>
      <c r="M102" s="367"/>
      <c r="N102" s="347"/>
      <c r="O102" s="348" t="str">
        <f t="shared" si="4"/>
        <v> </v>
      </c>
      <c r="P102" s="307"/>
      <c r="R102" s="349"/>
      <c r="S102" s="343"/>
      <c r="T102" s="343"/>
      <c r="U102" s="367"/>
      <c r="V102" s="367"/>
      <c r="W102" s="347"/>
      <c r="X102" s="348" t="str">
        <f t="shared" si="5"/>
        <v> </v>
      </c>
      <c r="AA102" s="349"/>
      <c r="AB102" s="343"/>
      <c r="AC102" s="343"/>
      <c r="AD102" s="367"/>
      <c r="AE102" s="367"/>
      <c r="AF102" s="347"/>
      <c r="AG102" s="348" t="str">
        <f t="shared" si="6"/>
        <v> </v>
      </c>
    </row>
    <row r="103" ht="15.75" customHeight="1">
      <c r="A103" s="305"/>
      <c r="B103" s="301"/>
      <c r="C103" s="301"/>
      <c r="D103" s="300"/>
      <c r="E103" s="300"/>
      <c r="F103" s="300"/>
      <c r="G103" s="300"/>
      <c r="H103" s="305"/>
      <c r="I103" s="349"/>
      <c r="J103" s="343"/>
      <c r="K103" s="343"/>
      <c r="L103" s="367"/>
      <c r="M103" s="367"/>
      <c r="N103" s="347"/>
      <c r="O103" s="348" t="str">
        <f t="shared" si="4"/>
        <v> </v>
      </c>
      <c r="P103" s="307"/>
      <c r="R103" s="349"/>
      <c r="S103" s="343"/>
      <c r="T103" s="343"/>
      <c r="U103" s="367"/>
      <c r="V103" s="367"/>
      <c r="W103" s="347"/>
      <c r="X103" s="348" t="str">
        <f t="shared" si="5"/>
        <v> </v>
      </c>
      <c r="AA103" s="349"/>
      <c r="AB103" s="343"/>
      <c r="AC103" s="343"/>
      <c r="AD103" s="367"/>
      <c r="AE103" s="367"/>
      <c r="AF103" s="347"/>
      <c r="AG103" s="348" t="str">
        <f t="shared" si="6"/>
        <v> </v>
      </c>
    </row>
    <row r="104" ht="27.75" customHeight="1">
      <c r="A104" s="305"/>
      <c r="B104" s="301"/>
      <c r="C104" s="301"/>
      <c r="D104" s="300"/>
      <c r="E104" s="300"/>
      <c r="F104" s="300"/>
      <c r="G104" s="300"/>
      <c r="H104" s="305"/>
      <c r="I104" s="349"/>
      <c r="J104" s="343"/>
      <c r="K104" s="343"/>
      <c r="L104" s="367"/>
      <c r="M104" s="367"/>
      <c r="N104" s="347"/>
      <c r="O104" s="348" t="str">
        <f t="shared" si="4"/>
        <v> </v>
      </c>
      <c r="P104" s="307"/>
      <c r="R104" s="349"/>
      <c r="S104" s="343"/>
      <c r="T104" s="343"/>
      <c r="U104" s="367"/>
      <c r="V104" s="367"/>
      <c r="W104" s="347"/>
      <c r="X104" s="348" t="str">
        <f t="shared" si="5"/>
        <v> </v>
      </c>
      <c r="AA104" s="349"/>
      <c r="AB104" s="343"/>
      <c r="AC104" s="343"/>
      <c r="AD104" s="367"/>
      <c r="AE104" s="367"/>
      <c r="AF104" s="347"/>
      <c r="AG104" s="348" t="str">
        <f t="shared" si="6"/>
        <v> </v>
      </c>
    </row>
    <row r="105" ht="15.75" customHeight="1">
      <c r="A105" s="305"/>
      <c r="B105" s="301"/>
      <c r="C105" s="301"/>
      <c r="D105" s="300"/>
      <c r="E105" s="300"/>
      <c r="F105" s="300"/>
      <c r="G105" s="300"/>
      <c r="H105" s="305"/>
      <c r="I105" s="349"/>
      <c r="J105" s="369"/>
      <c r="K105" s="343"/>
      <c r="L105" s="367"/>
      <c r="M105" s="367"/>
      <c r="N105" s="347"/>
      <c r="O105" s="348" t="str">
        <f t="shared" si="4"/>
        <v> </v>
      </c>
      <c r="P105" s="307"/>
      <c r="R105" s="349"/>
      <c r="S105" s="369"/>
      <c r="T105" s="343"/>
      <c r="U105" s="367"/>
      <c r="V105" s="367"/>
      <c r="W105" s="347"/>
      <c r="X105" s="348" t="str">
        <f t="shared" si="5"/>
        <v> </v>
      </c>
      <c r="AA105" s="349"/>
      <c r="AB105" s="369"/>
      <c r="AC105" s="343"/>
      <c r="AD105" s="367"/>
      <c r="AE105" s="367"/>
      <c r="AF105" s="347"/>
      <c r="AG105" s="348" t="str">
        <f t="shared" si="6"/>
        <v> </v>
      </c>
    </row>
    <row r="106" ht="15.75" customHeight="1">
      <c r="A106" s="305"/>
      <c r="B106" s="301"/>
      <c r="C106" s="301"/>
      <c r="D106" s="300"/>
      <c r="E106" s="300"/>
      <c r="F106" s="300"/>
      <c r="G106" s="300"/>
      <c r="H106" s="305"/>
      <c r="I106" s="349"/>
      <c r="J106" s="343"/>
      <c r="K106" s="343"/>
      <c r="L106" s="367"/>
      <c r="M106" s="367"/>
      <c r="N106" s="347"/>
      <c r="O106" s="348" t="str">
        <f t="shared" si="4"/>
        <v> </v>
      </c>
      <c r="P106" s="307"/>
      <c r="R106" s="349"/>
      <c r="S106" s="343"/>
      <c r="T106" s="343"/>
      <c r="U106" s="367"/>
      <c r="V106" s="367"/>
      <c r="W106" s="347"/>
      <c r="X106" s="348" t="str">
        <f t="shared" si="5"/>
        <v> </v>
      </c>
      <c r="AA106" s="349"/>
      <c r="AB106" s="343"/>
      <c r="AC106" s="343"/>
      <c r="AD106" s="367"/>
      <c r="AE106" s="367"/>
      <c r="AF106" s="347"/>
      <c r="AG106" s="348" t="str">
        <f t="shared" si="6"/>
        <v> </v>
      </c>
    </row>
    <row r="107" ht="15.75" customHeight="1">
      <c r="A107" s="305"/>
      <c r="B107" s="301"/>
      <c r="C107" s="301"/>
      <c r="D107" s="300"/>
      <c r="E107" s="300"/>
      <c r="F107" s="300"/>
      <c r="G107" s="300"/>
      <c r="H107" s="305"/>
      <c r="I107" s="349"/>
      <c r="J107" s="369"/>
      <c r="K107" s="343"/>
      <c r="L107" s="367"/>
      <c r="M107" s="367"/>
      <c r="N107" s="347"/>
      <c r="O107" s="348" t="str">
        <f t="shared" si="4"/>
        <v> </v>
      </c>
      <c r="P107" s="307"/>
      <c r="R107" s="349"/>
      <c r="S107" s="369"/>
      <c r="T107" s="343"/>
      <c r="U107" s="367"/>
      <c r="V107" s="367"/>
      <c r="W107" s="347"/>
      <c r="X107" s="348" t="str">
        <f t="shared" si="5"/>
        <v> </v>
      </c>
      <c r="AA107" s="349"/>
      <c r="AB107" s="369"/>
      <c r="AC107" s="343"/>
      <c r="AD107" s="367"/>
      <c r="AE107" s="367"/>
      <c r="AF107" s="347"/>
      <c r="AG107" s="348" t="str">
        <f t="shared" si="6"/>
        <v> </v>
      </c>
    </row>
    <row r="108" ht="15.75" customHeight="1">
      <c r="A108" s="305"/>
      <c r="B108" s="301"/>
      <c r="C108" s="301"/>
      <c r="D108" s="300"/>
      <c r="E108" s="300"/>
      <c r="F108" s="300"/>
      <c r="G108" s="300"/>
      <c r="H108" s="305"/>
      <c r="I108" s="349"/>
      <c r="J108" s="369"/>
      <c r="K108" s="343"/>
      <c r="L108" s="367"/>
      <c r="M108" s="367"/>
      <c r="N108" s="347"/>
      <c r="O108" s="348" t="str">
        <f t="shared" si="4"/>
        <v> </v>
      </c>
      <c r="P108" s="307"/>
      <c r="R108" s="349"/>
      <c r="S108" s="369"/>
      <c r="T108" s="343"/>
      <c r="U108" s="367"/>
      <c r="V108" s="367"/>
      <c r="W108" s="347"/>
      <c r="X108" s="348" t="str">
        <f t="shared" si="5"/>
        <v> </v>
      </c>
      <c r="AA108" s="349"/>
      <c r="AB108" s="369"/>
      <c r="AC108" s="343"/>
      <c r="AD108" s="367"/>
      <c r="AE108" s="367"/>
      <c r="AF108" s="347"/>
      <c r="AG108" s="348" t="str">
        <f t="shared" si="6"/>
        <v> </v>
      </c>
    </row>
    <row r="109" ht="15.75" customHeight="1">
      <c r="A109" s="305"/>
      <c r="B109" s="301"/>
      <c r="C109" s="301"/>
      <c r="D109" s="300"/>
      <c r="E109" s="300"/>
      <c r="F109" s="300"/>
      <c r="G109" s="300"/>
      <c r="H109" s="305"/>
      <c r="I109" s="349"/>
      <c r="J109" s="369"/>
      <c r="K109" s="343"/>
      <c r="L109" s="367"/>
      <c r="M109" s="368"/>
      <c r="N109" s="347"/>
      <c r="O109" s="348" t="str">
        <f t="shared" si="4"/>
        <v> </v>
      </c>
      <c r="P109" s="307"/>
      <c r="R109" s="349"/>
      <c r="S109" s="369"/>
      <c r="T109" s="343"/>
      <c r="U109" s="367"/>
      <c r="V109" s="368"/>
      <c r="W109" s="347"/>
      <c r="X109" s="348" t="str">
        <f t="shared" si="5"/>
        <v> </v>
      </c>
      <c r="AA109" s="349"/>
      <c r="AB109" s="369"/>
      <c r="AC109" s="343"/>
      <c r="AD109" s="367"/>
      <c r="AE109" s="368"/>
      <c r="AF109" s="347"/>
      <c r="AG109" s="348" t="str">
        <f t="shared" si="6"/>
        <v> </v>
      </c>
    </row>
    <row r="110" ht="15.75" customHeight="1">
      <c r="A110" s="305"/>
      <c r="B110" s="301"/>
      <c r="C110" s="301"/>
      <c r="D110" s="300"/>
      <c r="E110" s="300"/>
      <c r="F110" s="300"/>
      <c r="G110" s="300"/>
      <c r="H110" s="305"/>
      <c r="I110" s="349"/>
      <c r="J110" s="369"/>
      <c r="K110" s="343"/>
      <c r="L110" s="367"/>
      <c r="M110" s="368"/>
      <c r="N110" s="347"/>
      <c r="O110" s="348" t="str">
        <f t="shared" si="4"/>
        <v> </v>
      </c>
      <c r="P110" s="307"/>
      <c r="R110" s="349"/>
      <c r="S110" s="369"/>
      <c r="T110" s="343"/>
      <c r="U110" s="367"/>
      <c r="V110" s="368"/>
      <c r="W110" s="347"/>
      <c r="X110" s="348" t="str">
        <f t="shared" si="5"/>
        <v> </v>
      </c>
      <c r="AA110" s="349"/>
      <c r="AB110" s="369"/>
      <c r="AC110" s="343"/>
      <c r="AD110" s="367"/>
      <c r="AE110" s="368"/>
      <c r="AF110" s="347"/>
      <c r="AG110" s="348" t="str">
        <f t="shared" si="6"/>
        <v> </v>
      </c>
    </row>
    <row r="111" ht="30.0" customHeight="1">
      <c r="A111" s="305"/>
      <c r="B111" s="301"/>
      <c r="C111" s="301"/>
      <c r="D111" s="300"/>
      <c r="E111" s="300"/>
      <c r="F111" s="300"/>
      <c r="G111" s="300"/>
      <c r="H111" s="305"/>
      <c r="I111" s="349"/>
      <c r="J111" s="343"/>
      <c r="K111" s="343"/>
      <c r="L111" s="367"/>
      <c r="M111" s="368"/>
      <c r="N111" s="347"/>
      <c r="O111" s="348" t="str">
        <f t="shared" si="4"/>
        <v> </v>
      </c>
      <c r="P111" s="307"/>
      <c r="R111" s="349"/>
      <c r="S111" s="343"/>
      <c r="T111" s="343"/>
      <c r="U111" s="367"/>
      <c r="V111" s="368"/>
      <c r="W111" s="347"/>
      <c r="X111" s="348" t="str">
        <f t="shared" si="5"/>
        <v> </v>
      </c>
      <c r="AA111" s="349"/>
      <c r="AB111" s="343"/>
      <c r="AC111" s="343"/>
      <c r="AD111" s="367"/>
      <c r="AE111" s="368"/>
      <c r="AF111" s="347"/>
      <c r="AG111" s="348" t="str">
        <f t="shared" si="6"/>
        <v> </v>
      </c>
    </row>
    <row r="112" ht="15.75" customHeight="1">
      <c r="A112" s="305"/>
      <c r="B112" s="301"/>
      <c r="C112" s="301"/>
      <c r="D112" s="300"/>
      <c r="E112" s="300"/>
      <c r="F112" s="300"/>
      <c r="G112" s="300"/>
      <c r="H112" s="305"/>
      <c r="I112" s="349"/>
      <c r="J112" s="371"/>
      <c r="K112" s="343"/>
      <c r="L112" s="372"/>
      <c r="M112" s="368"/>
      <c r="N112" s="347"/>
      <c r="O112" s="348" t="str">
        <f t="shared" si="4"/>
        <v> </v>
      </c>
      <c r="P112" s="307"/>
      <c r="R112" s="349"/>
      <c r="S112" s="371"/>
      <c r="T112" s="343"/>
      <c r="U112" s="372"/>
      <c r="V112" s="368"/>
      <c r="W112" s="347"/>
      <c r="X112" s="348" t="str">
        <f t="shared" si="5"/>
        <v> </v>
      </c>
      <c r="AA112" s="349"/>
      <c r="AB112" s="371"/>
      <c r="AC112" s="343"/>
      <c r="AD112" s="372"/>
      <c r="AE112" s="368"/>
      <c r="AF112" s="347"/>
      <c r="AG112" s="348" t="str">
        <f t="shared" si="6"/>
        <v> </v>
      </c>
    </row>
    <row r="113" ht="15.75" customHeight="1">
      <c r="A113" s="305"/>
      <c r="B113" s="301"/>
      <c r="C113" s="301"/>
      <c r="D113" s="300"/>
      <c r="E113" s="300"/>
      <c r="F113" s="300"/>
      <c r="G113" s="300"/>
      <c r="H113" s="373"/>
      <c r="I113" s="349"/>
      <c r="J113" s="371"/>
      <c r="K113" s="343"/>
      <c r="L113" s="372"/>
      <c r="M113" s="368"/>
      <c r="N113" s="347"/>
      <c r="O113" s="348" t="str">
        <f t="shared" si="4"/>
        <v> </v>
      </c>
      <c r="P113" s="374"/>
      <c r="R113" s="349"/>
      <c r="S113" s="371"/>
      <c r="T113" s="343"/>
      <c r="U113" s="372"/>
      <c r="V113" s="368"/>
      <c r="W113" s="347"/>
      <c r="X113" s="348" t="str">
        <f t="shared" si="5"/>
        <v> </v>
      </c>
      <c r="AA113" s="349"/>
      <c r="AB113" s="371"/>
      <c r="AC113" s="343"/>
      <c r="AD113" s="372"/>
      <c r="AE113" s="368"/>
      <c r="AF113" s="347"/>
      <c r="AG113" s="348" t="str">
        <f t="shared" si="6"/>
        <v> </v>
      </c>
    </row>
    <row r="114" ht="27.75" customHeight="1">
      <c r="A114" s="305"/>
      <c r="B114" s="301"/>
      <c r="C114" s="301"/>
      <c r="D114" s="300"/>
      <c r="E114" s="300"/>
      <c r="F114" s="300"/>
      <c r="G114" s="300"/>
      <c r="H114" s="373"/>
      <c r="I114" s="349"/>
      <c r="J114" s="375"/>
      <c r="K114" s="343"/>
      <c r="L114" s="372"/>
      <c r="M114" s="367"/>
      <c r="N114" s="347"/>
      <c r="O114" s="348" t="str">
        <f t="shared" si="4"/>
        <v> </v>
      </c>
      <c r="P114" s="374"/>
      <c r="R114" s="349"/>
      <c r="S114" s="375"/>
      <c r="T114" s="343"/>
      <c r="U114" s="372"/>
      <c r="V114" s="367"/>
      <c r="W114" s="347"/>
      <c r="X114" s="348" t="str">
        <f t="shared" si="5"/>
        <v> </v>
      </c>
      <c r="AA114" s="349"/>
      <c r="AB114" s="375"/>
      <c r="AC114" s="343"/>
      <c r="AD114" s="372"/>
      <c r="AE114" s="367"/>
      <c r="AF114" s="347"/>
      <c r="AG114" s="348" t="str">
        <f t="shared" si="6"/>
        <v> </v>
      </c>
    </row>
    <row r="115" ht="15.75" customHeight="1">
      <c r="A115" s="305"/>
      <c r="B115" s="301"/>
      <c r="C115" s="301"/>
      <c r="D115" s="300"/>
      <c r="E115" s="300"/>
      <c r="F115" s="300"/>
      <c r="G115" s="300"/>
      <c r="H115" s="373"/>
      <c r="I115" s="349"/>
      <c r="J115" s="371"/>
      <c r="K115" s="343"/>
      <c r="L115" s="372"/>
      <c r="M115" s="367"/>
      <c r="N115" s="376"/>
      <c r="O115" s="348" t="str">
        <f t="shared" si="4"/>
        <v> </v>
      </c>
      <c r="P115" s="374"/>
      <c r="R115" s="349"/>
      <c r="S115" s="371"/>
      <c r="T115" s="343"/>
      <c r="U115" s="372"/>
      <c r="V115" s="367"/>
      <c r="W115" s="376"/>
      <c r="X115" s="348" t="str">
        <f t="shared" si="5"/>
        <v> </v>
      </c>
      <c r="AA115" s="349"/>
      <c r="AB115" s="371"/>
      <c r="AC115" s="343"/>
      <c r="AD115" s="372"/>
      <c r="AE115" s="367"/>
      <c r="AF115" s="376"/>
      <c r="AG115" s="348" t="str">
        <f t="shared" si="6"/>
        <v> </v>
      </c>
    </row>
    <row r="116" ht="15.75" customHeight="1">
      <c r="A116" s="305"/>
      <c r="B116" s="301"/>
      <c r="C116" s="301"/>
      <c r="D116" s="300"/>
      <c r="E116" s="300"/>
      <c r="F116" s="300"/>
      <c r="G116" s="300"/>
      <c r="H116" s="373"/>
      <c r="I116" s="349"/>
      <c r="J116" s="371"/>
      <c r="K116" s="343"/>
      <c r="L116" s="372"/>
      <c r="M116" s="367"/>
      <c r="N116" s="347"/>
      <c r="O116" s="348" t="str">
        <f t="shared" si="4"/>
        <v> </v>
      </c>
      <c r="P116" s="374"/>
      <c r="R116" s="349"/>
      <c r="S116" s="371"/>
      <c r="T116" s="343"/>
      <c r="U116" s="372"/>
      <c r="V116" s="367"/>
      <c r="W116" s="347"/>
      <c r="X116" s="348" t="str">
        <f t="shared" si="5"/>
        <v> </v>
      </c>
      <c r="AA116" s="349"/>
      <c r="AB116" s="371"/>
      <c r="AC116" s="343"/>
      <c r="AD116" s="372"/>
      <c r="AE116" s="367"/>
      <c r="AF116" s="347"/>
      <c r="AG116" s="348" t="str">
        <f t="shared" si="6"/>
        <v> </v>
      </c>
    </row>
    <row r="117" ht="15.75" customHeight="1">
      <c r="A117" s="305"/>
      <c r="B117" s="301"/>
      <c r="C117" s="301"/>
      <c r="D117" s="300"/>
      <c r="E117" s="300"/>
      <c r="F117" s="300"/>
      <c r="G117" s="300"/>
      <c r="H117" s="373"/>
      <c r="I117" s="349"/>
      <c r="J117" s="369"/>
      <c r="K117" s="343"/>
      <c r="L117" s="367"/>
      <c r="M117" s="367"/>
      <c r="N117" s="347"/>
      <c r="O117" s="348" t="str">
        <f t="shared" si="4"/>
        <v> </v>
      </c>
      <c r="P117" s="374"/>
      <c r="R117" s="349"/>
      <c r="S117" s="369"/>
      <c r="T117" s="343"/>
      <c r="U117" s="367"/>
      <c r="V117" s="367"/>
      <c r="W117" s="347"/>
      <c r="X117" s="348" t="str">
        <f t="shared" si="5"/>
        <v> </v>
      </c>
      <c r="AA117" s="349"/>
      <c r="AB117" s="369"/>
      <c r="AC117" s="343"/>
      <c r="AD117" s="367"/>
      <c r="AE117" s="367"/>
      <c r="AF117" s="347"/>
      <c r="AG117" s="348" t="str">
        <f t="shared" si="6"/>
        <v> </v>
      </c>
    </row>
    <row r="118" ht="15.75" customHeight="1">
      <c r="A118" s="305"/>
      <c r="B118" s="301"/>
      <c r="C118" s="301"/>
      <c r="D118" s="300"/>
      <c r="E118" s="300"/>
      <c r="F118" s="300"/>
      <c r="G118" s="300"/>
      <c r="H118" s="373"/>
      <c r="I118" s="349"/>
      <c r="J118" s="369"/>
      <c r="K118" s="343"/>
      <c r="L118" s="367"/>
      <c r="M118" s="367"/>
      <c r="N118" s="347"/>
      <c r="O118" s="348" t="str">
        <f t="shared" si="4"/>
        <v> </v>
      </c>
      <c r="P118" s="374"/>
      <c r="R118" s="349"/>
      <c r="S118" s="369"/>
      <c r="T118" s="343"/>
      <c r="U118" s="367"/>
      <c r="V118" s="367"/>
      <c r="W118" s="347"/>
      <c r="X118" s="348" t="str">
        <f t="shared" si="5"/>
        <v> </v>
      </c>
      <c r="AA118" s="349"/>
      <c r="AB118" s="369"/>
      <c r="AC118" s="343"/>
      <c r="AD118" s="367"/>
      <c r="AE118" s="367"/>
      <c r="AF118" s="347"/>
      <c r="AG118" s="348" t="str">
        <f t="shared" si="6"/>
        <v> </v>
      </c>
    </row>
    <row r="119" ht="15.75" customHeight="1">
      <c r="A119" s="305"/>
      <c r="B119" s="301"/>
      <c r="C119" s="301"/>
      <c r="D119" s="300"/>
      <c r="E119" s="300"/>
      <c r="F119" s="300"/>
      <c r="G119" s="300"/>
      <c r="H119" s="373"/>
      <c r="I119" s="349"/>
      <c r="J119" s="369"/>
      <c r="K119" s="343"/>
      <c r="L119" s="367"/>
      <c r="M119" s="367"/>
      <c r="N119" s="347"/>
      <c r="O119" s="348" t="str">
        <f t="shared" si="4"/>
        <v> </v>
      </c>
      <c r="P119" s="374"/>
      <c r="R119" s="349"/>
      <c r="S119" s="369"/>
      <c r="T119" s="343"/>
      <c r="U119" s="367"/>
      <c r="V119" s="367"/>
      <c r="W119" s="347"/>
      <c r="X119" s="348" t="str">
        <f t="shared" si="5"/>
        <v> </v>
      </c>
      <c r="AA119" s="349"/>
      <c r="AB119" s="369"/>
      <c r="AC119" s="343"/>
      <c r="AD119" s="367"/>
      <c r="AE119" s="367"/>
      <c r="AF119" s="347"/>
      <c r="AG119" s="348" t="str">
        <f t="shared" si="6"/>
        <v> </v>
      </c>
    </row>
    <row r="120" ht="15.75" customHeight="1">
      <c r="A120" s="305"/>
      <c r="B120" s="301"/>
      <c r="C120" s="301"/>
      <c r="D120" s="300"/>
      <c r="E120" s="300"/>
      <c r="F120" s="300"/>
      <c r="G120" s="300"/>
      <c r="H120" s="373"/>
      <c r="I120" s="349"/>
      <c r="J120" s="343"/>
      <c r="K120" s="343"/>
      <c r="L120" s="367"/>
      <c r="M120" s="367"/>
      <c r="N120" s="347"/>
      <c r="O120" s="348" t="str">
        <f t="shared" si="4"/>
        <v> </v>
      </c>
      <c r="P120" s="374"/>
      <c r="R120" s="349"/>
      <c r="S120" s="343"/>
      <c r="T120" s="343"/>
      <c r="U120" s="367"/>
      <c r="V120" s="367"/>
      <c r="W120" s="347"/>
      <c r="X120" s="348" t="str">
        <f t="shared" si="5"/>
        <v> </v>
      </c>
      <c r="AA120" s="349"/>
      <c r="AB120" s="343"/>
      <c r="AC120" s="343"/>
      <c r="AD120" s="367"/>
      <c r="AE120" s="367"/>
      <c r="AF120" s="347"/>
      <c r="AG120" s="348" t="str">
        <f t="shared" si="6"/>
        <v> </v>
      </c>
    </row>
    <row r="121" ht="15.75" customHeight="1">
      <c r="A121" s="305"/>
      <c r="B121" s="301"/>
      <c r="C121" s="301"/>
      <c r="D121" s="300"/>
      <c r="E121" s="300"/>
      <c r="F121" s="300"/>
      <c r="G121" s="300"/>
      <c r="H121" s="373"/>
      <c r="I121" s="349"/>
      <c r="J121" s="343"/>
      <c r="K121" s="343"/>
      <c r="L121" s="367"/>
      <c r="M121" s="367"/>
      <c r="N121" s="347"/>
      <c r="O121" s="348" t="str">
        <f t="shared" si="4"/>
        <v> </v>
      </c>
      <c r="P121" s="374"/>
      <c r="R121" s="349"/>
      <c r="S121" s="343"/>
      <c r="T121" s="343"/>
      <c r="U121" s="367"/>
      <c r="V121" s="367"/>
      <c r="W121" s="347"/>
      <c r="X121" s="348" t="str">
        <f t="shared" si="5"/>
        <v> </v>
      </c>
      <c r="AA121" s="349"/>
      <c r="AB121" s="343"/>
      <c r="AC121" s="343"/>
      <c r="AD121" s="367"/>
      <c r="AE121" s="367"/>
      <c r="AF121" s="347"/>
      <c r="AG121" s="348" t="str">
        <f t="shared" si="6"/>
        <v> </v>
      </c>
    </row>
    <row r="122" ht="15.75" customHeight="1">
      <c r="A122" s="305"/>
      <c r="B122" s="301"/>
      <c r="C122" s="301"/>
      <c r="D122" s="300"/>
      <c r="E122" s="300"/>
      <c r="F122" s="300"/>
      <c r="G122" s="300"/>
      <c r="H122" s="373"/>
      <c r="I122" s="349"/>
      <c r="J122" s="343"/>
      <c r="K122" s="343"/>
      <c r="L122" s="367"/>
      <c r="M122" s="367"/>
      <c r="N122" s="347"/>
      <c r="O122" s="348" t="str">
        <f t="shared" si="4"/>
        <v> </v>
      </c>
      <c r="P122" s="374"/>
      <c r="R122" s="349"/>
      <c r="S122" s="343"/>
      <c r="T122" s="343"/>
      <c r="U122" s="367"/>
      <c r="V122" s="367"/>
      <c r="W122" s="347"/>
      <c r="X122" s="348" t="str">
        <f t="shared" si="5"/>
        <v> </v>
      </c>
      <c r="AA122" s="349"/>
      <c r="AB122" s="343"/>
      <c r="AC122" s="343"/>
      <c r="AD122" s="367"/>
      <c r="AE122" s="367"/>
      <c r="AF122" s="347"/>
      <c r="AG122" s="348" t="str">
        <f t="shared" si="6"/>
        <v> </v>
      </c>
    </row>
    <row r="123" ht="15.75" customHeight="1">
      <c r="A123" s="305"/>
      <c r="B123" s="301"/>
      <c r="C123" s="301"/>
      <c r="D123" s="300"/>
      <c r="E123" s="300"/>
      <c r="F123" s="300"/>
      <c r="G123" s="300"/>
      <c r="H123" s="373"/>
      <c r="I123" s="349"/>
      <c r="J123" s="343"/>
      <c r="K123" s="343"/>
      <c r="L123" s="367"/>
      <c r="M123" s="367"/>
      <c r="N123" s="347"/>
      <c r="O123" s="348" t="str">
        <f t="shared" si="4"/>
        <v> </v>
      </c>
      <c r="P123" s="374"/>
      <c r="R123" s="349"/>
      <c r="S123" s="343"/>
      <c r="T123" s="343"/>
      <c r="U123" s="367"/>
      <c r="V123" s="367"/>
      <c r="W123" s="347"/>
      <c r="X123" s="348" t="str">
        <f t="shared" si="5"/>
        <v> </v>
      </c>
      <c r="AA123" s="349"/>
      <c r="AB123" s="343"/>
      <c r="AC123" s="343"/>
      <c r="AD123" s="367"/>
      <c r="AE123" s="367"/>
      <c r="AF123" s="347"/>
      <c r="AG123" s="348" t="str">
        <f t="shared" si="6"/>
        <v> </v>
      </c>
    </row>
    <row r="124" ht="15.75" customHeight="1">
      <c r="A124" s="305"/>
      <c r="B124" s="301"/>
      <c r="C124" s="301"/>
      <c r="D124" s="300"/>
      <c r="E124" s="300"/>
      <c r="F124" s="300"/>
      <c r="G124" s="300"/>
      <c r="H124" s="373"/>
      <c r="I124" s="349"/>
      <c r="J124" s="343"/>
      <c r="K124" s="343"/>
      <c r="L124" s="367"/>
      <c r="M124" s="367"/>
      <c r="N124" s="347"/>
      <c r="O124" s="348" t="str">
        <f t="shared" si="4"/>
        <v> </v>
      </c>
      <c r="P124" s="374"/>
      <c r="R124" s="349"/>
      <c r="S124" s="343"/>
      <c r="T124" s="343"/>
      <c r="U124" s="367"/>
      <c r="V124" s="367"/>
      <c r="W124" s="347"/>
      <c r="X124" s="348" t="str">
        <f t="shared" si="5"/>
        <v> </v>
      </c>
      <c r="AA124" s="349"/>
      <c r="AB124" s="343"/>
      <c r="AC124" s="343"/>
      <c r="AD124" s="367"/>
      <c r="AE124" s="367"/>
      <c r="AF124" s="347"/>
      <c r="AG124" s="348" t="str">
        <f t="shared" si="6"/>
        <v> </v>
      </c>
    </row>
    <row r="125" ht="15.75" customHeight="1">
      <c r="A125" s="305"/>
      <c r="B125" s="301"/>
      <c r="C125" s="301"/>
      <c r="D125" s="300"/>
      <c r="E125" s="300"/>
      <c r="F125" s="300"/>
      <c r="G125" s="300"/>
      <c r="H125" s="373"/>
      <c r="I125" s="349"/>
      <c r="J125" s="343"/>
      <c r="K125" s="343"/>
      <c r="L125" s="367"/>
      <c r="M125" s="367"/>
      <c r="N125" s="347"/>
      <c r="O125" s="348" t="str">
        <f t="shared" si="4"/>
        <v> </v>
      </c>
      <c r="P125" s="374"/>
      <c r="R125" s="349"/>
      <c r="S125" s="343"/>
      <c r="T125" s="343"/>
      <c r="U125" s="367"/>
      <c r="V125" s="367"/>
      <c r="W125" s="347"/>
      <c r="X125" s="348" t="str">
        <f t="shared" si="5"/>
        <v> </v>
      </c>
      <c r="AA125" s="349"/>
      <c r="AB125" s="343"/>
      <c r="AC125" s="343"/>
      <c r="AD125" s="367"/>
      <c r="AE125" s="367"/>
      <c r="AF125" s="347"/>
      <c r="AG125" s="348" t="str">
        <f t="shared" si="6"/>
        <v> </v>
      </c>
    </row>
    <row r="126" ht="15.75" customHeight="1">
      <c r="A126" s="305"/>
      <c r="B126" s="301"/>
      <c r="C126" s="301"/>
      <c r="D126" s="300"/>
      <c r="E126" s="300"/>
      <c r="F126" s="300"/>
      <c r="G126" s="300"/>
      <c r="H126" s="373"/>
      <c r="I126" s="349"/>
      <c r="J126" s="343"/>
      <c r="K126" s="343"/>
      <c r="L126" s="367"/>
      <c r="M126" s="367"/>
      <c r="N126" s="347"/>
      <c r="O126" s="348" t="str">
        <f t="shared" si="4"/>
        <v> </v>
      </c>
      <c r="P126" s="374"/>
      <c r="R126" s="349"/>
      <c r="S126" s="343"/>
      <c r="T126" s="343"/>
      <c r="U126" s="367"/>
      <c r="V126" s="367"/>
      <c r="W126" s="347"/>
      <c r="X126" s="348" t="str">
        <f t="shared" si="5"/>
        <v> </v>
      </c>
      <c r="AA126" s="349"/>
      <c r="AB126" s="343"/>
      <c r="AC126" s="343"/>
      <c r="AD126" s="367"/>
      <c r="AE126" s="367"/>
      <c r="AF126" s="347"/>
      <c r="AG126" s="348" t="str">
        <f t="shared" si="6"/>
        <v> </v>
      </c>
    </row>
    <row r="127" ht="15.75" customHeight="1">
      <c r="A127" s="305"/>
      <c r="B127" s="301"/>
      <c r="C127" s="301"/>
      <c r="D127" s="300"/>
      <c r="E127" s="300"/>
      <c r="F127" s="300"/>
      <c r="G127" s="300"/>
      <c r="H127" s="373"/>
      <c r="I127" s="349"/>
      <c r="J127" s="343"/>
      <c r="K127" s="343"/>
      <c r="L127" s="367"/>
      <c r="M127" s="367"/>
      <c r="N127" s="347"/>
      <c r="O127" s="348" t="str">
        <f t="shared" si="4"/>
        <v> </v>
      </c>
      <c r="P127" s="374"/>
      <c r="R127" s="349"/>
      <c r="S127" s="343"/>
      <c r="T127" s="343"/>
      <c r="U127" s="367"/>
      <c r="V127" s="367"/>
      <c r="W127" s="347"/>
      <c r="X127" s="348" t="str">
        <f t="shared" si="5"/>
        <v> </v>
      </c>
      <c r="AA127" s="349"/>
      <c r="AB127" s="343"/>
      <c r="AC127" s="343"/>
      <c r="AD127" s="367"/>
      <c r="AE127" s="367"/>
      <c r="AF127" s="347"/>
      <c r="AG127" s="348" t="str">
        <f t="shared" si="6"/>
        <v> </v>
      </c>
    </row>
    <row r="128">
      <c r="A128" s="305"/>
      <c r="B128" s="301"/>
      <c r="C128" s="301"/>
      <c r="D128" s="300"/>
      <c r="E128" s="300"/>
      <c r="F128" s="300"/>
      <c r="G128" s="300"/>
      <c r="H128" s="373"/>
      <c r="I128" s="349"/>
      <c r="J128" s="343"/>
      <c r="K128" s="343"/>
      <c r="L128" s="367"/>
      <c r="M128" s="367"/>
      <c r="N128" s="347"/>
      <c r="O128" s="348" t="str">
        <f t="shared" si="4"/>
        <v> </v>
      </c>
      <c r="P128" s="374"/>
      <c r="R128" s="349"/>
      <c r="S128" s="343"/>
      <c r="T128" s="343"/>
      <c r="U128" s="367"/>
      <c r="V128" s="367"/>
      <c r="W128" s="347"/>
      <c r="X128" s="348" t="str">
        <f t="shared" si="5"/>
        <v> </v>
      </c>
      <c r="AA128" s="349"/>
      <c r="AB128" s="343"/>
      <c r="AC128" s="343"/>
      <c r="AD128" s="367"/>
      <c r="AE128" s="367"/>
      <c r="AF128" s="347"/>
      <c r="AG128" s="348" t="str">
        <f t="shared" si="6"/>
        <v> </v>
      </c>
    </row>
    <row r="129">
      <c r="A129" s="305"/>
      <c r="B129" s="301"/>
      <c r="C129" s="301"/>
      <c r="D129" s="300"/>
      <c r="E129" s="300"/>
      <c r="F129" s="300"/>
      <c r="G129" s="300"/>
      <c r="H129" s="373"/>
      <c r="I129" s="349"/>
      <c r="J129" s="343"/>
      <c r="K129" s="343"/>
      <c r="L129" s="367"/>
      <c r="M129" s="367"/>
      <c r="N129" s="347"/>
      <c r="O129" s="348" t="str">
        <f t="shared" si="4"/>
        <v> </v>
      </c>
      <c r="P129" s="374"/>
      <c r="R129" s="349"/>
      <c r="S129" s="343"/>
      <c r="T129" s="343"/>
      <c r="U129" s="367"/>
      <c r="V129" s="367"/>
      <c r="W129" s="347"/>
      <c r="X129" s="348" t="str">
        <f t="shared" si="5"/>
        <v> </v>
      </c>
      <c r="AA129" s="349"/>
      <c r="AB129" s="343"/>
      <c r="AC129" s="343"/>
      <c r="AD129" s="367"/>
      <c r="AE129" s="367"/>
      <c r="AF129" s="347"/>
      <c r="AG129" s="348" t="str">
        <f t="shared" si="6"/>
        <v> </v>
      </c>
    </row>
    <row r="130">
      <c r="A130" s="305"/>
      <c r="B130" s="301"/>
      <c r="C130" s="301"/>
      <c r="D130" s="300"/>
      <c r="E130" s="300"/>
      <c r="F130" s="300"/>
      <c r="G130" s="300"/>
      <c r="H130" s="373"/>
      <c r="I130" s="349"/>
      <c r="J130" s="343"/>
      <c r="K130" s="343"/>
      <c r="L130" s="367"/>
      <c r="M130" s="367"/>
      <c r="N130" s="347"/>
      <c r="O130" s="348" t="str">
        <f t="shared" si="4"/>
        <v> </v>
      </c>
      <c r="P130" s="374"/>
      <c r="R130" s="349"/>
      <c r="S130" s="343"/>
      <c r="T130" s="343"/>
      <c r="U130" s="367"/>
      <c r="V130" s="367"/>
      <c r="W130" s="347"/>
      <c r="X130" s="348" t="str">
        <f t="shared" si="5"/>
        <v> </v>
      </c>
      <c r="AA130" s="349"/>
      <c r="AB130" s="343"/>
      <c r="AC130" s="343"/>
      <c r="AD130" s="367"/>
      <c r="AE130" s="367"/>
      <c r="AF130" s="347"/>
      <c r="AG130" s="348" t="str">
        <f t="shared" si="6"/>
        <v> </v>
      </c>
    </row>
    <row r="131" ht="15.75" customHeight="1">
      <c r="A131" s="305"/>
      <c r="B131" s="301"/>
      <c r="C131" s="301"/>
      <c r="D131" s="300"/>
      <c r="E131" s="300"/>
      <c r="F131" s="300"/>
      <c r="G131" s="300"/>
      <c r="H131" s="373"/>
      <c r="I131" s="349"/>
      <c r="J131" s="343"/>
      <c r="K131" s="343"/>
      <c r="L131" s="367"/>
      <c r="M131" s="367"/>
      <c r="N131" s="347"/>
      <c r="O131" s="348" t="str">
        <f t="shared" si="4"/>
        <v> </v>
      </c>
      <c r="P131" s="374"/>
      <c r="R131" s="349"/>
      <c r="S131" s="343"/>
      <c r="T131" s="343"/>
      <c r="U131" s="367"/>
      <c r="V131" s="367"/>
      <c r="W131" s="347"/>
      <c r="X131" s="348" t="str">
        <f t="shared" si="5"/>
        <v> </v>
      </c>
      <c r="AA131" s="349"/>
      <c r="AB131" s="343"/>
      <c r="AC131" s="343"/>
      <c r="AD131" s="367"/>
      <c r="AE131" s="367"/>
      <c r="AF131" s="347"/>
      <c r="AG131" s="348" t="str">
        <f t="shared" si="6"/>
        <v> </v>
      </c>
    </row>
    <row r="132" ht="15.75" customHeight="1">
      <c r="A132" s="305"/>
      <c r="B132" s="301"/>
      <c r="C132" s="301"/>
      <c r="D132" s="300"/>
      <c r="E132" s="300"/>
      <c r="F132" s="300"/>
      <c r="G132" s="300"/>
      <c r="H132" s="373"/>
      <c r="I132" s="349"/>
      <c r="J132" s="343"/>
      <c r="K132" s="343"/>
      <c r="L132" s="367"/>
      <c r="M132" s="367"/>
      <c r="N132" s="347"/>
      <c r="O132" s="348" t="str">
        <f t="shared" si="4"/>
        <v> </v>
      </c>
      <c r="P132" s="374"/>
      <c r="R132" s="349"/>
      <c r="S132" s="343"/>
      <c r="T132" s="343"/>
      <c r="U132" s="367"/>
      <c r="V132" s="367"/>
      <c r="W132" s="347"/>
      <c r="X132" s="348" t="str">
        <f t="shared" si="5"/>
        <v> </v>
      </c>
      <c r="AA132" s="349"/>
      <c r="AB132" s="343"/>
      <c r="AC132" s="343"/>
      <c r="AD132" s="367"/>
      <c r="AE132" s="367"/>
      <c r="AF132" s="347"/>
      <c r="AG132" s="348" t="str">
        <f t="shared" si="6"/>
        <v> </v>
      </c>
    </row>
    <row r="133" ht="15.75" customHeight="1">
      <c r="A133" s="305"/>
      <c r="B133" s="301"/>
      <c r="C133" s="301"/>
      <c r="D133" s="300"/>
      <c r="E133" s="300"/>
      <c r="F133" s="300"/>
      <c r="G133" s="300"/>
      <c r="H133" s="373"/>
      <c r="I133" s="349"/>
      <c r="J133" s="343"/>
      <c r="K133" s="343"/>
      <c r="L133" s="367"/>
      <c r="M133" s="367"/>
      <c r="N133" s="347"/>
      <c r="O133" s="348" t="str">
        <f t="shared" si="4"/>
        <v> </v>
      </c>
      <c r="P133" s="374"/>
      <c r="R133" s="349"/>
      <c r="S133" s="343"/>
      <c r="T133" s="343"/>
      <c r="U133" s="367"/>
      <c r="V133" s="367"/>
      <c r="W133" s="347"/>
      <c r="X133" s="348" t="str">
        <f t="shared" si="5"/>
        <v> </v>
      </c>
      <c r="AA133" s="349"/>
      <c r="AB133" s="343"/>
      <c r="AC133" s="343"/>
      <c r="AD133" s="367"/>
      <c r="AE133" s="367"/>
      <c r="AF133" s="347"/>
      <c r="AG133" s="348" t="str">
        <f t="shared" si="6"/>
        <v> </v>
      </c>
    </row>
    <row r="134" ht="15.75" customHeight="1">
      <c r="A134" s="305"/>
      <c r="B134" s="301"/>
      <c r="C134" s="301"/>
      <c r="D134" s="300"/>
      <c r="E134" s="300"/>
      <c r="F134" s="300"/>
      <c r="G134" s="300"/>
      <c r="H134" s="373"/>
      <c r="I134" s="349"/>
      <c r="J134" s="343"/>
      <c r="K134" s="343"/>
      <c r="L134" s="367"/>
      <c r="M134" s="367"/>
      <c r="N134" s="347"/>
      <c r="O134" s="348" t="str">
        <f t="shared" si="4"/>
        <v> </v>
      </c>
      <c r="P134" s="374"/>
      <c r="R134" s="349"/>
      <c r="S134" s="343"/>
      <c r="T134" s="343"/>
      <c r="U134" s="367"/>
      <c r="V134" s="367"/>
      <c r="W134" s="347"/>
      <c r="X134" s="348" t="str">
        <f t="shared" si="5"/>
        <v> </v>
      </c>
      <c r="AA134" s="349"/>
      <c r="AB134" s="343"/>
      <c r="AC134" s="343"/>
      <c r="AD134" s="367"/>
      <c r="AE134" s="367"/>
      <c r="AF134" s="347"/>
      <c r="AG134" s="348" t="str">
        <f t="shared" si="6"/>
        <v> </v>
      </c>
    </row>
    <row r="135" ht="15.75" customHeight="1">
      <c r="A135" s="305"/>
      <c r="B135" s="301"/>
      <c r="C135" s="301"/>
      <c r="D135" s="300"/>
      <c r="E135" s="300"/>
      <c r="F135" s="300"/>
      <c r="G135" s="300"/>
      <c r="H135" s="373"/>
      <c r="I135" s="349"/>
      <c r="J135" s="369"/>
      <c r="K135" s="343"/>
      <c r="L135" s="367"/>
      <c r="M135" s="367"/>
      <c r="N135" s="347"/>
      <c r="O135" s="348" t="str">
        <f t="shared" si="4"/>
        <v> </v>
      </c>
      <c r="P135" s="374"/>
      <c r="R135" s="349"/>
      <c r="S135" s="369"/>
      <c r="T135" s="343"/>
      <c r="U135" s="367"/>
      <c r="V135" s="367"/>
      <c r="W135" s="347"/>
      <c r="X135" s="348" t="str">
        <f t="shared" si="5"/>
        <v> </v>
      </c>
      <c r="AA135" s="349"/>
      <c r="AB135" s="369"/>
      <c r="AC135" s="343"/>
      <c r="AD135" s="367"/>
      <c r="AE135" s="367"/>
      <c r="AF135" s="347"/>
      <c r="AG135" s="348" t="str">
        <f t="shared" si="6"/>
        <v> </v>
      </c>
    </row>
    <row r="136" ht="15.75" customHeight="1">
      <c r="A136" s="305"/>
      <c r="B136" s="301"/>
      <c r="C136" s="301"/>
      <c r="D136" s="300"/>
      <c r="E136" s="300"/>
      <c r="F136" s="300"/>
      <c r="G136" s="300"/>
      <c r="H136" s="373"/>
      <c r="I136" s="349"/>
      <c r="J136" s="369"/>
      <c r="K136" s="343"/>
      <c r="L136" s="367"/>
      <c r="M136" s="367"/>
      <c r="N136" s="347"/>
      <c r="O136" s="348" t="str">
        <f t="shared" si="4"/>
        <v> </v>
      </c>
      <c r="P136" s="374"/>
      <c r="R136" s="349"/>
      <c r="S136" s="369"/>
      <c r="T136" s="343"/>
      <c r="U136" s="367"/>
      <c r="V136" s="367"/>
      <c r="W136" s="347"/>
      <c r="X136" s="348" t="str">
        <f t="shared" si="5"/>
        <v> </v>
      </c>
      <c r="AA136" s="349"/>
      <c r="AB136" s="369"/>
      <c r="AC136" s="343"/>
      <c r="AD136" s="367"/>
      <c r="AE136" s="367"/>
      <c r="AF136" s="347"/>
      <c r="AG136" s="348" t="str">
        <f t="shared" si="6"/>
        <v> </v>
      </c>
    </row>
    <row r="137" ht="15.75" customHeight="1">
      <c r="A137" s="305"/>
      <c r="B137" s="301"/>
      <c r="C137" s="301"/>
      <c r="D137" s="300"/>
      <c r="E137" s="300"/>
      <c r="F137" s="300"/>
      <c r="G137" s="300"/>
      <c r="H137" s="373"/>
      <c r="I137" s="349"/>
      <c r="J137" s="343"/>
      <c r="K137" s="343"/>
      <c r="L137" s="367"/>
      <c r="M137" s="368"/>
      <c r="N137" s="347"/>
      <c r="O137" s="348" t="str">
        <f t="shared" si="4"/>
        <v> </v>
      </c>
      <c r="P137" s="374"/>
      <c r="R137" s="349"/>
      <c r="S137" s="343"/>
      <c r="T137" s="343"/>
      <c r="U137" s="367"/>
      <c r="V137" s="368"/>
      <c r="W137" s="347"/>
      <c r="X137" s="348" t="str">
        <f t="shared" si="5"/>
        <v> </v>
      </c>
      <c r="AA137" s="349"/>
      <c r="AB137" s="343"/>
      <c r="AC137" s="343"/>
      <c r="AD137" s="367"/>
      <c r="AE137" s="368"/>
      <c r="AF137" s="347"/>
      <c r="AG137" s="348" t="str">
        <f t="shared" si="6"/>
        <v> </v>
      </c>
    </row>
    <row r="138" ht="15.75" customHeight="1">
      <c r="A138" s="305"/>
      <c r="B138" s="301"/>
      <c r="C138" s="301"/>
      <c r="D138" s="300"/>
      <c r="E138" s="300"/>
      <c r="F138" s="300"/>
      <c r="G138" s="300"/>
      <c r="H138" s="373"/>
      <c r="I138" s="349"/>
      <c r="J138" s="343"/>
      <c r="K138" s="343"/>
      <c r="L138" s="367"/>
      <c r="M138" s="368"/>
      <c r="N138" s="347"/>
      <c r="O138" s="348" t="str">
        <f t="shared" si="4"/>
        <v> </v>
      </c>
      <c r="P138" s="374"/>
      <c r="R138" s="349"/>
      <c r="S138" s="343"/>
      <c r="T138" s="343"/>
      <c r="U138" s="367"/>
      <c r="V138" s="368"/>
      <c r="W138" s="347"/>
      <c r="X138" s="348" t="str">
        <f t="shared" si="5"/>
        <v> </v>
      </c>
      <c r="AA138" s="349"/>
      <c r="AB138" s="343"/>
      <c r="AC138" s="343"/>
      <c r="AD138" s="367"/>
      <c r="AE138" s="368"/>
      <c r="AF138" s="347"/>
      <c r="AG138" s="348" t="str">
        <f t="shared" si="6"/>
        <v> </v>
      </c>
    </row>
    <row r="139">
      <c r="A139" s="305"/>
      <c r="B139" s="301"/>
      <c r="C139" s="301"/>
      <c r="D139" s="300"/>
      <c r="E139" s="300"/>
      <c r="F139" s="300"/>
      <c r="G139" s="300"/>
      <c r="H139" s="373"/>
      <c r="I139" s="349"/>
      <c r="J139" s="343"/>
      <c r="K139" s="343"/>
      <c r="L139" s="367"/>
      <c r="M139" s="368"/>
      <c r="N139" s="347"/>
      <c r="O139" s="348" t="str">
        <f t="shared" si="4"/>
        <v> </v>
      </c>
      <c r="P139" s="374"/>
      <c r="R139" s="349"/>
      <c r="S139" s="343"/>
      <c r="T139" s="343"/>
      <c r="U139" s="367"/>
      <c r="V139" s="368"/>
      <c r="W139" s="347"/>
      <c r="X139" s="348" t="str">
        <f t="shared" si="5"/>
        <v> </v>
      </c>
      <c r="AA139" s="349"/>
      <c r="AB139" s="343"/>
      <c r="AC139" s="343"/>
      <c r="AD139" s="367"/>
      <c r="AE139" s="368"/>
      <c r="AF139" s="347"/>
      <c r="AG139" s="348" t="str">
        <f t="shared" si="6"/>
        <v> </v>
      </c>
    </row>
    <row r="140" ht="15.75" customHeight="1">
      <c r="A140" s="305"/>
      <c r="B140" s="301"/>
      <c r="C140" s="301"/>
      <c r="D140" s="300"/>
      <c r="E140" s="300"/>
      <c r="F140" s="300"/>
      <c r="G140" s="300"/>
      <c r="H140" s="373"/>
      <c r="I140" s="349"/>
      <c r="J140" s="343"/>
      <c r="K140" s="343"/>
      <c r="L140" s="367"/>
      <c r="M140" s="368"/>
      <c r="N140" s="347"/>
      <c r="O140" s="348" t="str">
        <f t="shared" si="4"/>
        <v> </v>
      </c>
      <c r="P140" s="374"/>
      <c r="R140" s="349"/>
      <c r="S140" s="343"/>
      <c r="T140" s="343"/>
      <c r="U140" s="367"/>
      <c r="V140" s="368"/>
      <c r="W140" s="347"/>
      <c r="X140" s="348" t="str">
        <f t="shared" si="5"/>
        <v> </v>
      </c>
      <c r="AA140" s="349"/>
      <c r="AB140" s="343"/>
      <c r="AC140" s="343"/>
      <c r="AD140" s="367"/>
      <c r="AE140" s="368"/>
      <c r="AF140" s="347"/>
      <c r="AG140" s="348" t="str">
        <f t="shared" si="6"/>
        <v> </v>
      </c>
    </row>
    <row r="141" ht="15.75" customHeight="1">
      <c r="A141" s="305"/>
      <c r="B141" s="301"/>
      <c r="C141" s="301"/>
      <c r="D141" s="300"/>
      <c r="E141" s="300"/>
      <c r="F141" s="300"/>
      <c r="G141" s="300"/>
      <c r="H141" s="373"/>
      <c r="I141" s="349"/>
      <c r="J141" s="343"/>
      <c r="K141" s="343"/>
      <c r="L141" s="367"/>
      <c r="M141" s="368"/>
      <c r="N141" s="347"/>
      <c r="O141" s="348" t="str">
        <f t="shared" si="4"/>
        <v> </v>
      </c>
      <c r="P141" s="374"/>
      <c r="R141" s="349"/>
      <c r="S141" s="343"/>
      <c r="T141" s="343"/>
      <c r="U141" s="367"/>
      <c r="V141" s="368"/>
      <c r="W141" s="347"/>
      <c r="X141" s="348" t="str">
        <f t="shared" si="5"/>
        <v> </v>
      </c>
      <c r="AA141" s="349"/>
      <c r="AB141" s="343"/>
      <c r="AC141" s="343"/>
      <c r="AD141" s="367"/>
      <c r="AE141" s="368"/>
      <c r="AF141" s="347"/>
      <c r="AG141" s="348" t="str">
        <f t="shared" si="6"/>
        <v> </v>
      </c>
    </row>
    <row r="142" ht="15.75" customHeight="1">
      <c r="A142" s="305"/>
      <c r="B142" s="301"/>
      <c r="C142" s="301"/>
      <c r="D142" s="300"/>
      <c r="E142" s="300"/>
      <c r="F142" s="300"/>
      <c r="G142" s="300"/>
      <c r="H142" s="373"/>
      <c r="I142" s="349"/>
      <c r="J142" s="343"/>
      <c r="K142" s="343"/>
      <c r="L142" s="367"/>
      <c r="M142" s="368"/>
      <c r="N142" s="347"/>
      <c r="O142" s="348" t="str">
        <f t="shared" si="4"/>
        <v> </v>
      </c>
      <c r="P142" s="374"/>
      <c r="R142" s="349"/>
      <c r="S142" s="343"/>
      <c r="T142" s="343"/>
      <c r="U142" s="367"/>
      <c r="V142" s="368"/>
      <c r="W142" s="347"/>
      <c r="X142" s="348" t="str">
        <f t="shared" si="5"/>
        <v> </v>
      </c>
      <c r="AA142" s="349"/>
      <c r="AB142" s="343"/>
      <c r="AC142" s="343"/>
      <c r="AD142" s="367"/>
      <c r="AE142" s="368"/>
      <c r="AF142" s="347"/>
      <c r="AG142" s="348" t="str">
        <f t="shared" si="6"/>
        <v> </v>
      </c>
    </row>
    <row r="143" ht="15.75" customHeight="1">
      <c r="A143" s="305"/>
      <c r="B143" s="301"/>
      <c r="C143" s="301"/>
      <c r="D143" s="300"/>
      <c r="E143" s="300"/>
      <c r="F143" s="300"/>
      <c r="G143" s="300"/>
      <c r="H143" s="373"/>
      <c r="I143" s="349"/>
      <c r="J143" s="343"/>
      <c r="K143" s="343"/>
      <c r="L143" s="367"/>
      <c r="M143" s="368"/>
      <c r="N143" s="347"/>
      <c r="O143" s="348" t="str">
        <f t="shared" si="4"/>
        <v> </v>
      </c>
      <c r="P143" s="374"/>
      <c r="R143" s="349"/>
      <c r="S143" s="343"/>
      <c r="T143" s="343"/>
      <c r="U143" s="367"/>
      <c r="V143" s="368"/>
      <c r="W143" s="347"/>
      <c r="X143" s="348" t="str">
        <f t="shared" si="5"/>
        <v> </v>
      </c>
      <c r="AA143" s="349"/>
      <c r="AB143" s="343"/>
      <c r="AC143" s="343"/>
      <c r="AD143" s="367"/>
      <c r="AE143" s="368"/>
      <c r="AF143" s="347"/>
      <c r="AG143" s="348" t="str">
        <f t="shared" si="6"/>
        <v> </v>
      </c>
    </row>
    <row r="144" ht="15.75" customHeight="1">
      <c r="A144" s="305"/>
      <c r="B144" s="301"/>
      <c r="C144" s="301"/>
      <c r="D144" s="300"/>
      <c r="E144" s="300"/>
      <c r="F144" s="300"/>
      <c r="G144" s="300"/>
      <c r="H144" s="373"/>
      <c r="I144" s="349"/>
      <c r="J144" s="343"/>
      <c r="K144" s="343"/>
      <c r="L144" s="367"/>
      <c r="M144" s="367"/>
      <c r="N144" s="347"/>
      <c r="O144" s="348" t="str">
        <f t="shared" si="4"/>
        <v> </v>
      </c>
      <c r="P144" s="374"/>
      <c r="R144" s="349"/>
      <c r="S144" s="343"/>
      <c r="T144" s="343"/>
      <c r="U144" s="367"/>
      <c r="V144" s="367"/>
      <c r="W144" s="347"/>
      <c r="X144" s="348" t="str">
        <f t="shared" si="5"/>
        <v> </v>
      </c>
      <c r="AA144" s="349"/>
      <c r="AB144" s="343"/>
      <c r="AC144" s="343"/>
      <c r="AD144" s="367"/>
      <c r="AE144" s="367"/>
      <c r="AF144" s="347"/>
      <c r="AG144" s="348" t="str">
        <f t="shared" si="6"/>
        <v> </v>
      </c>
    </row>
    <row r="145" ht="15.75" customHeight="1">
      <c r="A145" s="305"/>
      <c r="B145" s="301"/>
      <c r="C145" s="301"/>
      <c r="D145" s="300"/>
      <c r="E145" s="300"/>
      <c r="F145" s="300"/>
      <c r="G145" s="300"/>
      <c r="H145" s="373"/>
      <c r="I145" s="349"/>
      <c r="J145" s="343"/>
      <c r="K145" s="343"/>
      <c r="L145" s="367"/>
      <c r="M145" s="368"/>
      <c r="N145" s="347"/>
      <c r="O145" s="348" t="str">
        <f t="shared" si="4"/>
        <v> </v>
      </c>
      <c r="P145" s="374"/>
      <c r="R145" s="349"/>
      <c r="S145" s="343"/>
      <c r="T145" s="343"/>
      <c r="U145" s="367"/>
      <c r="V145" s="368"/>
      <c r="W145" s="347"/>
      <c r="X145" s="348" t="str">
        <f t="shared" si="5"/>
        <v> </v>
      </c>
      <c r="AA145" s="349"/>
      <c r="AB145" s="343"/>
      <c r="AC145" s="343"/>
      <c r="AD145" s="367"/>
      <c r="AE145" s="368"/>
      <c r="AF145" s="347"/>
      <c r="AG145" s="348" t="str">
        <f t="shared" si="6"/>
        <v> </v>
      </c>
    </row>
    <row r="146" ht="15.75" customHeight="1">
      <c r="A146" s="305"/>
      <c r="B146" s="301"/>
      <c r="C146" s="301"/>
      <c r="D146" s="300"/>
      <c r="E146" s="300"/>
      <c r="F146" s="300"/>
      <c r="G146" s="300"/>
      <c r="H146" s="373"/>
      <c r="I146" s="349"/>
      <c r="J146" s="343"/>
      <c r="K146" s="343"/>
      <c r="L146" s="367"/>
      <c r="M146" s="367"/>
      <c r="N146" s="347"/>
      <c r="O146" s="348" t="str">
        <f t="shared" si="4"/>
        <v> </v>
      </c>
      <c r="P146" s="374"/>
      <c r="R146" s="349"/>
      <c r="S146" s="343"/>
      <c r="T146" s="343"/>
      <c r="U146" s="367"/>
      <c r="V146" s="367"/>
      <c r="W146" s="347"/>
      <c r="X146" s="348" t="str">
        <f t="shared" si="5"/>
        <v> </v>
      </c>
      <c r="AA146" s="349"/>
      <c r="AB146" s="343"/>
      <c r="AC146" s="343"/>
      <c r="AD146" s="367"/>
      <c r="AE146" s="367"/>
      <c r="AF146" s="347"/>
      <c r="AG146" s="348" t="str">
        <f t="shared" si="6"/>
        <v> </v>
      </c>
    </row>
    <row r="147" ht="15.75" customHeight="1">
      <c r="A147" s="305"/>
      <c r="B147" s="301"/>
      <c r="C147" s="301"/>
      <c r="D147" s="300"/>
      <c r="E147" s="300"/>
      <c r="F147" s="300"/>
      <c r="G147" s="300"/>
      <c r="H147" s="373"/>
      <c r="I147" s="349"/>
      <c r="J147" s="343"/>
      <c r="K147" s="343"/>
      <c r="L147" s="367"/>
      <c r="M147" s="367"/>
      <c r="N147" s="347"/>
      <c r="O147" s="348" t="str">
        <f t="shared" si="4"/>
        <v> </v>
      </c>
      <c r="P147" s="374"/>
      <c r="R147" s="349"/>
      <c r="S147" s="343"/>
      <c r="T147" s="343"/>
      <c r="U147" s="367"/>
      <c r="V147" s="367"/>
      <c r="W147" s="347"/>
      <c r="X147" s="348" t="str">
        <f t="shared" si="5"/>
        <v> </v>
      </c>
      <c r="AA147" s="349"/>
      <c r="AB147" s="343"/>
      <c r="AC147" s="343"/>
      <c r="AD147" s="367"/>
      <c r="AE147" s="367"/>
      <c r="AF147" s="347"/>
      <c r="AG147" s="348" t="str">
        <f t="shared" si="6"/>
        <v> </v>
      </c>
    </row>
    <row r="148" ht="15.75" customHeight="1">
      <c r="A148" s="305"/>
      <c r="B148" s="301"/>
      <c r="C148" s="301"/>
      <c r="D148" s="300"/>
      <c r="E148" s="300"/>
      <c r="F148" s="300"/>
      <c r="G148" s="300"/>
      <c r="H148" s="373"/>
      <c r="I148" s="349"/>
      <c r="J148" s="343"/>
      <c r="K148" s="343"/>
      <c r="L148" s="367"/>
      <c r="M148" s="368"/>
      <c r="N148" s="347"/>
      <c r="O148" s="348" t="str">
        <f t="shared" si="4"/>
        <v> </v>
      </c>
      <c r="P148" s="374"/>
      <c r="R148" s="349"/>
      <c r="S148" s="343"/>
      <c r="T148" s="343"/>
      <c r="U148" s="367"/>
      <c r="V148" s="368"/>
      <c r="W148" s="347"/>
      <c r="X148" s="348" t="str">
        <f t="shared" si="5"/>
        <v> </v>
      </c>
      <c r="AA148" s="349"/>
      <c r="AB148" s="343"/>
      <c r="AC148" s="343"/>
      <c r="AD148" s="367"/>
      <c r="AE148" s="368"/>
      <c r="AF148" s="347"/>
      <c r="AG148" s="348" t="str">
        <f t="shared" si="6"/>
        <v> </v>
      </c>
    </row>
    <row r="149" ht="15.75" customHeight="1">
      <c r="A149" s="305"/>
      <c r="B149" s="301"/>
      <c r="C149" s="301"/>
      <c r="D149" s="300"/>
      <c r="E149" s="300"/>
      <c r="F149" s="300"/>
      <c r="G149" s="300"/>
      <c r="H149" s="373"/>
      <c r="I149" s="349"/>
      <c r="J149" s="343"/>
      <c r="K149" s="343"/>
      <c r="L149" s="367"/>
      <c r="M149" s="368"/>
      <c r="N149" s="347"/>
      <c r="O149" s="348" t="str">
        <f t="shared" si="4"/>
        <v> </v>
      </c>
      <c r="P149" s="374"/>
      <c r="R149" s="349"/>
      <c r="S149" s="343"/>
      <c r="T149" s="343"/>
      <c r="U149" s="367"/>
      <c r="V149" s="368"/>
      <c r="W149" s="347"/>
      <c r="X149" s="348" t="str">
        <f t="shared" si="5"/>
        <v> </v>
      </c>
      <c r="AA149" s="349"/>
      <c r="AB149" s="343"/>
      <c r="AC149" s="343"/>
      <c r="AD149" s="367"/>
      <c r="AE149" s="368"/>
      <c r="AF149" s="347"/>
      <c r="AG149" s="348" t="str">
        <f t="shared" si="6"/>
        <v> </v>
      </c>
    </row>
    <row r="150" ht="15.75" customHeight="1">
      <c r="A150" s="305"/>
      <c r="B150" s="301"/>
      <c r="C150" s="301"/>
      <c r="D150" s="300"/>
      <c r="E150" s="300"/>
      <c r="F150" s="300"/>
      <c r="G150" s="300"/>
      <c r="H150" s="373"/>
      <c r="I150" s="349"/>
      <c r="J150" s="343"/>
      <c r="K150" s="343"/>
      <c r="L150" s="367"/>
      <c r="M150" s="367"/>
      <c r="N150" s="347"/>
      <c r="O150" s="348" t="str">
        <f t="shared" si="4"/>
        <v> </v>
      </c>
      <c r="P150" s="374"/>
      <c r="R150" s="349"/>
      <c r="S150" s="343"/>
      <c r="T150" s="343"/>
      <c r="U150" s="367"/>
      <c r="V150" s="367"/>
      <c r="W150" s="347"/>
      <c r="X150" s="348" t="str">
        <f t="shared" si="5"/>
        <v> </v>
      </c>
      <c r="AA150" s="349"/>
      <c r="AB150" s="343"/>
      <c r="AC150" s="343"/>
      <c r="AD150" s="367"/>
      <c r="AE150" s="367"/>
      <c r="AF150" s="347"/>
      <c r="AG150" s="348" t="str">
        <f t="shared" si="6"/>
        <v> </v>
      </c>
    </row>
    <row r="151" ht="15.75" customHeight="1">
      <c r="A151" s="305"/>
      <c r="B151" s="301"/>
      <c r="C151" s="301"/>
      <c r="D151" s="300"/>
      <c r="E151" s="300"/>
      <c r="F151" s="300"/>
      <c r="G151" s="300"/>
      <c r="H151" s="373"/>
      <c r="I151" s="349"/>
      <c r="J151" s="343"/>
      <c r="K151" s="343"/>
      <c r="L151" s="367"/>
      <c r="M151" s="368"/>
      <c r="N151" s="347"/>
      <c r="O151" s="348" t="str">
        <f t="shared" si="4"/>
        <v> </v>
      </c>
      <c r="P151" s="374"/>
      <c r="R151" s="349"/>
      <c r="S151" s="343"/>
      <c r="T151" s="343"/>
      <c r="U151" s="367"/>
      <c r="V151" s="368"/>
      <c r="W151" s="347"/>
      <c r="X151" s="348" t="str">
        <f t="shared" si="5"/>
        <v> </v>
      </c>
      <c r="AA151" s="349"/>
      <c r="AB151" s="343"/>
      <c r="AC151" s="343"/>
      <c r="AD151" s="367"/>
      <c r="AE151" s="368"/>
      <c r="AF151" s="347"/>
      <c r="AG151" s="348" t="str">
        <f t="shared" si="6"/>
        <v> </v>
      </c>
    </row>
    <row r="152" ht="15.75" customHeight="1">
      <c r="A152" s="305"/>
      <c r="B152" s="301"/>
      <c r="C152" s="301"/>
      <c r="D152" s="300"/>
      <c r="E152" s="300"/>
      <c r="F152" s="300"/>
      <c r="G152" s="300"/>
      <c r="H152" s="373"/>
      <c r="I152" s="349"/>
      <c r="J152" s="343"/>
      <c r="K152" s="343"/>
      <c r="L152" s="367"/>
      <c r="M152" s="368"/>
      <c r="N152" s="347"/>
      <c r="O152" s="348" t="str">
        <f t="shared" si="4"/>
        <v> </v>
      </c>
      <c r="P152" s="374"/>
      <c r="R152" s="349"/>
      <c r="S152" s="343"/>
      <c r="T152" s="343"/>
      <c r="U152" s="367"/>
      <c r="V152" s="368"/>
      <c r="W152" s="347"/>
      <c r="X152" s="348" t="str">
        <f t="shared" si="5"/>
        <v> </v>
      </c>
      <c r="AA152" s="349"/>
      <c r="AB152" s="343"/>
      <c r="AC152" s="343"/>
      <c r="AD152" s="367"/>
      <c r="AE152" s="368"/>
      <c r="AF152" s="347"/>
      <c r="AG152" s="348" t="str">
        <f t="shared" si="6"/>
        <v> </v>
      </c>
    </row>
    <row r="153" ht="15.75" customHeight="1">
      <c r="A153" s="305"/>
      <c r="B153" s="301"/>
      <c r="C153" s="301"/>
      <c r="D153" s="300"/>
      <c r="E153" s="300"/>
      <c r="F153" s="300"/>
      <c r="G153" s="300"/>
      <c r="H153" s="373"/>
      <c r="I153" s="349"/>
      <c r="J153" s="343"/>
      <c r="K153" s="343"/>
      <c r="L153" s="367"/>
      <c r="M153" s="367"/>
      <c r="N153" s="347"/>
      <c r="O153" s="348" t="str">
        <f t="shared" si="4"/>
        <v> </v>
      </c>
      <c r="P153" s="374"/>
      <c r="R153" s="349"/>
      <c r="S153" s="343"/>
      <c r="T153" s="343"/>
      <c r="U153" s="367"/>
      <c r="V153" s="367"/>
      <c r="W153" s="347"/>
      <c r="X153" s="348" t="str">
        <f t="shared" si="5"/>
        <v> </v>
      </c>
      <c r="AA153" s="349"/>
      <c r="AB153" s="343"/>
      <c r="AC153" s="343"/>
      <c r="AD153" s="367"/>
      <c r="AE153" s="367"/>
      <c r="AF153" s="347"/>
      <c r="AG153" s="348" t="str">
        <f t="shared" si="6"/>
        <v> </v>
      </c>
    </row>
    <row r="154" ht="15.75" customHeight="1">
      <c r="A154" s="305"/>
      <c r="B154" s="301"/>
      <c r="C154" s="301"/>
      <c r="D154" s="300"/>
      <c r="E154" s="300"/>
      <c r="F154" s="300"/>
      <c r="G154" s="300"/>
      <c r="H154" s="373"/>
      <c r="I154" s="349"/>
      <c r="J154" s="343"/>
      <c r="K154" s="343"/>
      <c r="L154" s="367"/>
      <c r="M154" s="367"/>
      <c r="N154" s="347"/>
      <c r="O154" s="348" t="str">
        <f t="shared" si="4"/>
        <v> </v>
      </c>
      <c r="P154" s="374"/>
      <c r="R154" s="349"/>
      <c r="S154" s="343"/>
      <c r="T154" s="343"/>
      <c r="U154" s="367"/>
      <c r="V154" s="367"/>
      <c r="W154" s="347"/>
      <c r="X154" s="348" t="str">
        <f t="shared" si="5"/>
        <v> </v>
      </c>
      <c r="AA154" s="349"/>
      <c r="AB154" s="343"/>
      <c r="AC154" s="343"/>
      <c r="AD154" s="367"/>
      <c r="AE154" s="367"/>
      <c r="AF154" s="347"/>
      <c r="AG154" s="348" t="str">
        <f t="shared" si="6"/>
        <v> </v>
      </c>
    </row>
    <row r="155" ht="15.75" customHeight="1">
      <c r="A155" s="305"/>
      <c r="B155" s="301"/>
      <c r="C155" s="301"/>
      <c r="D155" s="300"/>
      <c r="E155" s="300"/>
      <c r="F155" s="300"/>
      <c r="G155" s="300"/>
      <c r="H155" s="373"/>
      <c r="I155" s="349"/>
      <c r="J155" s="343"/>
      <c r="K155" s="343"/>
      <c r="L155" s="367"/>
      <c r="M155" s="368"/>
      <c r="N155" s="347"/>
      <c r="O155" s="348" t="str">
        <f t="shared" si="4"/>
        <v> </v>
      </c>
      <c r="P155" s="374"/>
      <c r="R155" s="349"/>
      <c r="S155" s="343"/>
      <c r="T155" s="343"/>
      <c r="U155" s="367"/>
      <c r="V155" s="368"/>
      <c r="W155" s="347"/>
      <c r="X155" s="348" t="str">
        <f t="shared" si="5"/>
        <v> </v>
      </c>
      <c r="AA155" s="349"/>
      <c r="AB155" s="343"/>
      <c r="AC155" s="343"/>
      <c r="AD155" s="367"/>
      <c r="AE155" s="368"/>
      <c r="AF155" s="347"/>
      <c r="AG155" s="348" t="str">
        <f t="shared" si="6"/>
        <v> </v>
      </c>
    </row>
    <row r="156" ht="15.75" customHeight="1">
      <c r="A156" s="305"/>
      <c r="B156" s="301"/>
      <c r="C156" s="301"/>
      <c r="D156" s="300"/>
      <c r="E156" s="300"/>
      <c r="F156" s="300"/>
      <c r="G156" s="300"/>
      <c r="H156" s="373"/>
      <c r="I156" s="349"/>
      <c r="J156" s="343"/>
      <c r="K156" s="343"/>
      <c r="L156" s="367"/>
      <c r="M156" s="368"/>
      <c r="N156" s="347"/>
      <c r="O156" s="348" t="str">
        <f t="shared" si="4"/>
        <v> </v>
      </c>
      <c r="P156" s="374"/>
      <c r="R156" s="349"/>
      <c r="S156" s="343"/>
      <c r="T156" s="343"/>
      <c r="U156" s="367"/>
      <c r="V156" s="368"/>
      <c r="W156" s="347"/>
      <c r="X156" s="348" t="str">
        <f t="shared" si="5"/>
        <v> </v>
      </c>
      <c r="AA156" s="349"/>
      <c r="AB156" s="343"/>
      <c r="AC156" s="343"/>
      <c r="AD156" s="367"/>
      <c r="AE156" s="368"/>
      <c r="AF156" s="347"/>
      <c r="AG156" s="348" t="str">
        <f t="shared" si="6"/>
        <v> </v>
      </c>
    </row>
    <row r="157" ht="15.75" customHeight="1">
      <c r="A157" s="305"/>
      <c r="B157" s="301"/>
      <c r="C157" s="301"/>
      <c r="D157" s="300"/>
      <c r="E157" s="300"/>
      <c r="F157" s="300"/>
      <c r="G157" s="300"/>
      <c r="H157" s="373"/>
      <c r="I157" s="349"/>
      <c r="J157" s="343"/>
      <c r="K157" s="343"/>
      <c r="L157" s="367"/>
      <c r="M157" s="368"/>
      <c r="N157" s="347"/>
      <c r="O157" s="348" t="str">
        <f t="shared" si="4"/>
        <v> </v>
      </c>
      <c r="P157" s="374"/>
      <c r="R157" s="349"/>
      <c r="S157" s="343"/>
      <c r="T157" s="343"/>
      <c r="U157" s="367"/>
      <c r="V157" s="368"/>
      <c r="W157" s="347"/>
      <c r="X157" s="348" t="str">
        <f t="shared" si="5"/>
        <v> </v>
      </c>
      <c r="AA157" s="349"/>
      <c r="AB157" s="343"/>
      <c r="AC157" s="343"/>
      <c r="AD157" s="367"/>
      <c r="AE157" s="368"/>
      <c r="AF157" s="347"/>
      <c r="AG157" s="348" t="str">
        <f t="shared" si="6"/>
        <v> </v>
      </c>
    </row>
    <row r="158" ht="15.75" customHeight="1">
      <c r="A158" s="305"/>
      <c r="B158" s="301"/>
      <c r="C158" s="301"/>
      <c r="D158" s="300"/>
      <c r="E158" s="300"/>
      <c r="F158" s="300"/>
      <c r="G158" s="300"/>
      <c r="H158" s="373"/>
      <c r="I158" s="349"/>
      <c r="J158" s="343"/>
      <c r="K158" s="343"/>
      <c r="L158" s="367"/>
      <c r="M158" s="368"/>
      <c r="N158" s="347"/>
      <c r="O158" s="348" t="str">
        <f t="shared" si="4"/>
        <v> </v>
      </c>
      <c r="P158" s="374"/>
      <c r="R158" s="349"/>
      <c r="S158" s="343"/>
      <c r="T158" s="343"/>
      <c r="U158" s="367"/>
      <c r="V158" s="368"/>
      <c r="W158" s="347"/>
      <c r="X158" s="348" t="str">
        <f t="shared" si="5"/>
        <v> </v>
      </c>
      <c r="AA158" s="349"/>
      <c r="AB158" s="343"/>
      <c r="AC158" s="343"/>
      <c r="AD158" s="367"/>
      <c r="AE158" s="368"/>
      <c r="AF158" s="347"/>
      <c r="AG158" s="348" t="str">
        <f t="shared" si="6"/>
        <v> </v>
      </c>
    </row>
    <row r="159" ht="15.75" customHeight="1">
      <c r="A159" s="305"/>
      <c r="B159" s="301"/>
      <c r="C159" s="301"/>
      <c r="D159" s="300"/>
      <c r="E159" s="300"/>
      <c r="F159" s="300"/>
      <c r="G159" s="300"/>
      <c r="H159" s="305"/>
      <c r="I159" s="349"/>
      <c r="J159" s="343"/>
      <c r="K159" s="343"/>
      <c r="L159" s="367"/>
      <c r="M159" s="368"/>
      <c r="N159" s="347"/>
      <c r="O159" s="348" t="str">
        <f t="shared" si="4"/>
        <v> </v>
      </c>
      <c r="P159" s="307"/>
      <c r="R159" s="349"/>
      <c r="S159" s="343"/>
      <c r="T159" s="343"/>
      <c r="U159" s="367"/>
      <c r="V159" s="368"/>
      <c r="W159" s="347"/>
      <c r="X159" s="348" t="str">
        <f t="shared" si="5"/>
        <v> </v>
      </c>
      <c r="AA159" s="349"/>
      <c r="AB159" s="343"/>
      <c r="AC159" s="343"/>
      <c r="AD159" s="367"/>
      <c r="AE159" s="368"/>
      <c r="AF159" s="347"/>
      <c r="AG159" s="348" t="str">
        <f t="shared" si="6"/>
        <v> </v>
      </c>
    </row>
    <row r="160" ht="15.75" customHeight="1">
      <c r="A160" s="305"/>
      <c r="B160" s="301"/>
      <c r="C160" s="301"/>
      <c r="D160" s="300"/>
      <c r="E160" s="300"/>
      <c r="F160" s="300"/>
      <c r="G160" s="300"/>
      <c r="H160" s="305"/>
      <c r="I160" s="349"/>
      <c r="J160" s="343"/>
      <c r="K160" s="343"/>
      <c r="L160" s="367"/>
      <c r="M160" s="367"/>
      <c r="N160" s="347"/>
      <c r="O160" s="348" t="str">
        <f t="shared" si="4"/>
        <v> </v>
      </c>
      <c r="P160" s="307"/>
      <c r="R160" s="349"/>
      <c r="S160" s="343"/>
      <c r="T160" s="343"/>
      <c r="U160" s="367"/>
      <c r="V160" s="367"/>
      <c r="W160" s="347"/>
      <c r="X160" s="348" t="str">
        <f t="shared" si="5"/>
        <v> </v>
      </c>
      <c r="AA160" s="349"/>
      <c r="AB160" s="343"/>
      <c r="AC160" s="343"/>
      <c r="AD160" s="367"/>
      <c r="AE160" s="367"/>
      <c r="AF160" s="347"/>
      <c r="AG160" s="348" t="str">
        <f t="shared" si="6"/>
        <v> </v>
      </c>
    </row>
    <row r="161" ht="15.75" customHeight="1">
      <c r="A161" s="305"/>
      <c r="B161" s="301"/>
      <c r="C161" s="301"/>
      <c r="D161" s="300"/>
      <c r="E161" s="300"/>
      <c r="F161" s="300"/>
      <c r="G161" s="300"/>
      <c r="H161" s="305"/>
      <c r="I161" s="349"/>
      <c r="J161" s="343"/>
      <c r="K161" s="343"/>
      <c r="L161" s="367"/>
      <c r="M161" s="367"/>
      <c r="N161" s="347"/>
      <c r="O161" s="348" t="str">
        <f t="shared" si="4"/>
        <v> </v>
      </c>
      <c r="P161" s="307"/>
      <c r="R161" s="349"/>
      <c r="S161" s="343"/>
      <c r="T161" s="343"/>
      <c r="U161" s="367"/>
      <c r="V161" s="367"/>
      <c r="W161" s="347"/>
      <c r="X161" s="348" t="str">
        <f t="shared" si="5"/>
        <v> </v>
      </c>
      <c r="AA161" s="349"/>
      <c r="AB161" s="343"/>
      <c r="AC161" s="343"/>
      <c r="AD161" s="367"/>
      <c r="AE161" s="367"/>
      <c r="AF161" s="347"/>
      <c r="AG161" s="348" t="str">
        <f t="shared" si="6"/>
        <v> </v>
      </c>
    </row>
    <row r="162" ht="15.75" customHeight="1">
      <c r="A162" s="305"/>
      <c r="B162" s="301"/>
      <c r="C162" s="301"/>
      <c r="D162" s="300"/>
      <c r="E162" s="300"/>
      <c r="F162" s="300"/>
      <c r="G162" s="300"/>
      <c r="H162" s="305"/>
      <c r="I162" s="349"/>
      <c r="J162" s="343"/>
      <c r="K162" s="343"/>
      <c r="L162" s="367"/>
      <c r="M162" s="367"/>
      <c r="N162" s="347"/>
      <c r="O162" s="348" t="str">
        <f t="shared" si="4"/>
        <v> </v>
      </c>
      <c r="P162" s="307"/>
      <c r="R162" s="349"/>
      <c r="S162" s="343"/>
      <c r="T162" s="343"/>
      <c r="U162" s="367"/>
      <c r="V162" s="367"/>
      <c r="W162" s="347"/>
      <c r="X162" s="348" t="str">
        <f t="shared" si="5"/>
        <v> </v>
      </c>
      <c r="AA162" s="349"/>
      <c r="AB162" s="343"/>
      <c r="AC162" s="343"/>
      <c r="AD162" s="367"/>
      <c r="AE162" s="367"/>
      <c r="AF162" s="347"/>
      <c r="AG162" s="348" t="str">
        <f t="shared" si="6"/>
        <v> </v>
      </c>
    </row>
    <row r="163" ht="15.75" customHeight="1">
      <c r="A163" s="305"/>
      <c r="B163" s="301"/>
      <c r="C163" s="301"/>
      <c r="D163" s="300"/>
      <c r="E163" s="300"/>
      <c r="F163" s="300"/>
      <c r="G163" s="300"/>
      <c r="H163" s="305"/>
      <c r="I163" s="349"/>
      <c r="J163" s="343"/>
      <c r="K163" s="343"/>
      <c r="L163" s="367"/>
      <c r="M163" s="368"/>
      <c r="N163" s="347"/>
      <c r="O163" s="348" t="str">
        <f t="shared" si="4"/>
        <v> </v>
      </c>
      <c r="P163" s="307"/>
      <c r="R163" s="349"/>
      <c r="S163" s="343"/>
      <c r="T163" s="343"/>
      <c r="U163" s="367"/>
      <c r="V163" s="368"/>
      <c r="W163" s="347"/>
      <c r="X163" s="348" t="str">
        <f t="shared" si="5"/>
        <v> </v>
      </c>
      <c r="AA163" s="349"/>
      <c r="AB163" s="343"/>
      <c r="AC163" s="343"/>
      <c r="AD163" s="367"/>
      <c r="AE163" s="368"/>
      <c r="AF163" s="347"/>
      <c r="AG163" s="348" t="str">
        <f t="shared" si="6"/>
        <v> </v>
      </c>
    </row>
    <row r="164">
      <c r="A164" s="305"/>
      <c r="B164" s="301"/>
      <c r="C164" s="301"/>
      <c r="D164" s="300"/>
      <c r="E164" s="300"/>
      <c r="F164" s="300"/>
      <c r="G164" s="300"/>
      <c r="H164" s="305"/>
      <c r="I164" s="349"/>
      <c r="J164" s="343"/>
      <c r="K164" s="343"/>
      <c r="L164" s="367"/>
      <c r="M164" s="367"/>
      <c r="N164" s="347"/>
      <c r="O164" s="348" t="str">
        <f t="shared" si="4"/>
        <v> </v>
      </c>
      <c r="P164" s="307"/>
      <c r="R164" s="349"/>
      <c r="S164" s="343"/>
      <c r="T164" s="343"/>
      <c r="U164" s="367"/>
      <c r="V164" s="367"/>
      <c r="W164" s="347"/>
      <c r="X164" s="348" t="str">
        <f t="shared" si="5"/>
        <v> </v>
      </c>
      <c r="AA164" s="349"/>
      <c r="AB164" s="343"/>
      <c r="AC164" s="343"/>
      <c r="AD164" s="367"/>
      <c r="AE164" s="367"/>
      <c r="AF164" s="347"/>
      <c r="AG164" s="348" t="str">
        <f t="shared" si="6"/>
        <v> </v>
      </c>
    </row>
    <row r="165" ht="15.75" customHeight="1">
      <c r="A165" s="305"/>
      <c r="B165" s="301"/>
      <c r="C165" s="301"/>
      <c r="D165" s="300"/>
      <c r="E165" s="300"/>
      <c r="F165" s="300"/>
      <c r="G165" s="300"/>
      <c r="H165" s="305"/>
      <c r="I165" s="349"/>
      <c r="J165" s="343"/>
      <c r="K165" s="343"/>
      <c r="L165" s="367"/>
      <c r="M165" s="367"/>
      <c r="N165" s="347"/>
      <c r="O165" s="348" t="str">
        <f t="shared" si="4"/>
        <v> </v>
      </c>
      <c r="P165" s="307"/>
      <c r="R165" s="349"/>
      <c r="S165" s="343"/>
      <c r="T165" s="343"/>
      <c r="U165" s="367"/>
      <c r="V165" s="367"/>
      <c r="W165" s="347"/>
      <c r="X165" s="348" t="str">
        <f t="shared" si="5"/>
        <v> </v>
      </c>
      <c r="AA165" s="349"/>
      <c r="AB165" s="343"/>
      <c r="AC165" s="343"/>
      <c r="AD165" s="367"/>
      <c r="AE165" s="367"/>
      <c r="AF165" s="347"/>
      <c r="AG165" s="348" t="str">
        <f t="shared" si="6"/>
        <v> </v>
      </c>
    </row>
    <row r="166">
      <c r="A166" s="305"/>
      <c r="B166" s="301"/>
      <c r="C166" s="301"/>
      <c r="D166" s="300"/>
      <c r="E166" s="300"/>
      <c r="F166" s="300"/>
      <c r="G166" s="300"/>
      <c r="H166" s="305"/>
      <c r="I166" s="349"/>
      <c r="J166" s="343"/>
      <c r="K166" s="343"/>
      <c r="L166" s="367"/>
      <c r="M166" s="367"/>
      <c r="N166" s="347"/>
      <c r="O166" s="348" t="str">
        <f t="shared" si="4"/>
        <v> </v>
      </c>
      <c r="P166" s="307"/>
      <c r="R166" s="349"/>
      <c r="S166" s="343"/>
      <c r="T166" s="343"/>
      <c r="U166" s="367"/>
      <c r="V166" s="367"/>
      <c r="W166" s="347"/>
      <c r="X166" s="348" t="str">
        <f t="shared" si="5"/>
        <v> </v>
      </c>
      <c r="AA166" s="349"/>
      <c r="AB166" s="343"/>
      <c r="AC166" s="343"/>
      <c r="AD166" s="367"/>
      <c r="AE166" s="367"/>
      <c r="AF166" s="347"/>
      <c r="AG166" s="348" t="str">
        <f t="shared" si="6"/>
        <v> </v>
      </c>
    </row>
    <row r="167" ht="15.75" customHeight="1">
      <c r="A167" s="305"/>
      <c r="B167" s="301"/>
      <c r="C167" s="301"/>
      <c r="D167" s="300"/>
      <c r="E167" s="300"/>
      <c r="F167" s="300"/>
      <c r="G167" s="300"/>
      <c r="H167" s="305"/>
      <c r="I167" s="349"/>
      <c r="J167" s="343"/>
      <c r="K167" s="343"/>
      <c r="L167" s="367"/>
      <c r="M167" s="367"/>
      <c r="N167" s="347"/>
      <c r="O167" s="348" t="str">
        <f t="shared" si="4"/>
        <v> </v>
      </c>
      <c r="P167" s="307"/>
      <c r="R167" s="349"/>
      <c r="S167" s="343"/>
      <c r="T167" s="343"/>
      <c r="U167" s="367"/>
      <c r="V167" s="367"/>
      <c r="W167" s="347"/>
      <c r="X167" s="348" t="str">
        <f t="shared" si="5"/>
        <v> </v>
      </c>
      <c r="AA167" s="349"/>
      <c r="AB167" s="343"/>
      <c r="AC167" s="343"/>
      <c r="AD167" s="367"/>
      <c r="AE167" s="367"/>
      <c r="AF167" s="347"/>
      <c r="AG167" s="348" t="str">
        <f t="shared" si="6"/>
        <v> </v>
      </c>
    </row>
    <row r="168" ht="15.75" customHeight="1">
      <c r="A168" s="305"/>
      <c r="B168" s="301"/>
      <c r="C168" s="301"/>
      <c r="D168" s="300"/>
      <c r="E168" s="300"/>
      <c r="F168" s="300"/>
      <c r="G168" s="300"/>
      <c r="H168" s="305"/>
      <c r="I168" s="349"/>
      <c r="J168" s="343"/>
      <c r="K168" s="343"/>
      <c r="L168" s="367"/>
      <c r="M168" s="367"/>
      <c r="N168" s="347"/>
      <c r="O168" s="348" t="str">
        <f t="shared" si="4"/>
        <v> </v>
      </c>
      <c r="P168" s="307"/>
      <c r="R168" s="349"/>
      <c r="S168" s="343"/>
      <c r="T168" s="343"/>
      <c r="U168" s="367"/>
      <c r="V168" s="367"/>
      <c r="W168" s="347"/>
      <c r="X168" s="348" t="str">
        <f t="shared" si="5"/>
        <v> </v>
      </c>
      <c r="AA168" s="349"/>
      <c r="AB168" s="343"/>
      <c r="AC168" s="343"/>
      <c r="AD168" s="367"/>
      <c r="AE168" s="367"/>
      <c r="AF168" s="347"/>
      <c r="AG168" s="348" t="str">
        <f t="shared" si="6"/>
        <v> </v>
      </c>
    </row>
    <row r="169" ht="15.75" customHeight="1">
      <c r="A169" s="305"/>
      <c r="B169" s="301"/>
      <c r="C169" s="301"/>
      <c r="D169" s="300"/>
      <c r="E169" s="300"/>
      <c r="F169" s="300"/>
      <c r="G169" s="300"/>
      <c r="H169" s="305"/>
      <c r="I169" s="349"/>
      <c r="J169" s="343"/>
      <c r="K169" s="343"/>
      <c r="L169" s="367"/>
      <c r="M169" s="368"/>
      <c r="N169" s="347"/>
      <c r="O169" s="348" t="str">
        <f t="shared" si="4"/>
        <v> </v>
      </c>
      <c r="P169" s="307"/>
      <c r="R169" s="349"/>
      <c r="S169" s="343"/>
      <c r="T169" s="343"/>
      <c r="U169" s="367"/>
      <c r="V169" s="368"/>
      <c r="W169" s="347"/>
      <c r="X169" s="348" t="str">
        <f t="shared" si="5"/>
        <v> </v>
      </c>
      <c r="AA169" s="349"/>
      <c r="AB169" s="343"/>
      <c r="AC169" s="343"/>
      <c r="AD169" s="367"/>
      <c r="AE169" s="368"/>
      <c r="AF169" s="347"/>
      <c r="AG169" s="348" t="str">
        <f t="shared" si="6"/>
        <v> </v>
      </c>
    </row>
    <row r="170" ht="15.75" customHeight="1">
      <c r="A170" s="305"/>
      <c r="B170" s="301"/>
      <c r="C170" s="301"/>
      <c r="D170" s="300"/>
      <c r="E170" s="300"/>
      <c r="F170" s="300"/>
      <c r="G170" s="300"/>
      <c r="H170" s="305"/>
      <c r="I170" s="349"/>
      <c r="J170" s="343"/>
      <c r="K170" s="343"/>
      <c r="L170" s="367"/>
      <c r="M170" s="368"/>
      <c r="N170" s="347"/>
      <c r="O170" s="348" t="str">
        <f t="shared" si="4"/>
        <v> </v>
      </c>
      <c r="P170" s="307"/>
      <c r="R170" s="349"/>
      <c r="S170" s="343"/>
      <c r="T170" s="343"/>
      <c r="U170" s="367"/>
      <c r="V170" s="368"/>
      <c r="W170" s="347"/>
      <c r="X170" s="348" t="str">
        <f t="shared" si="5"/>
        <v> </v>
      </c>
      <c r="AA170" s="349"/>
      <c r="AB170" s="343"/>
      <c r="AC170" s="343"/>
      <c r="AD170" s="367"/>
      <c r="AE170" s="368"/>
      <c r="AF170" s="347"/>
      <c r="AG170" s="348" t="str">
        <f t="shared" si="6"/>
        <v> </v>
      </c>
    </row>
    <row r="171" ht="15.75" customHeight="1">
      <c r="A171" s="305"/>
      <c r="B171" s="301"/>
      <c r="C171" s="301"/>
      <c r="D171" s="300"/>
      <c r="E171" s="300"/>
      <c r="F171" s="300"/>
      <c r="G171" s="300"/>
      <c r="H171" s="305"/>
      <c r="I171" s="349"/>
      <c r="J171" s="343"/>
      <c r="K171" s="343"/>
      <c r="L171" s="367"/>
      <c r="M171" s="367"/>
      <c r="N171" s="347"/>
      <c r="O171" s="348" t="str">
        <f t="shared" si="4"/>
        <v> </v>
      </c>
      <c r="P171" s="307"/>
      <c r="R171" s="349"/>
      <c r="S171" s="343"/>
      <c r="T171" s="343"/>
      <c r="U171" s="367"/>
      <c r="V171" s="367"/>
      <c r="W171" s="347"/>
      <c r="X171" s="348" t="str">
        <f t="shared" si="5"/>
        <v> </v>
      </c>
      <c r="AA171" s="349"/>
      <c r="AB171" s="343"/>
      <c r="AC171" s="343"/>
      <c r="AD171" s="367"/>
      <c r="AE171" s="367"/>
      <c r="AF171" s="347"/>
      <c r="AG171" s="348" t="str">
        <f t="shared" si="6"/>
        <v> </v>
      </c>
    </row>
    <row r="172" ht="15.75" customHeight="1">
      <c r="A172" s="305"/>
      <c r="B172" s="301"/>
      <c r="C172" s="301"/>
      <c r="D172" s="300"/>
      <c r="E172" s="300"/>
      <c r="F172" s="300"/>
      <c r="G172" s="300"/>
      <c r="H172" s="305"/>
      <c r="I172" s="349"/>
      <c r="J172" s="343"/>
      <c r="K172" s="343"/>
      <c r="L172" s="367"/>
      <c r="M172" s="368"/>
      <c r="N172" s="347"/>
      <c r="O172" s="348" t="str">
        <f t="shared" si="4"/>
        <v> </v>
      </c>
      <c r="P172" s="307"/>
      <c r="R172" s="349"/>
      <c r="S172" s="343"/>
      <c r="T172" s="343"/>
      <c r="U172" s="367"/>
      <c r="V172" s="368"/>
      <c r="W172" s="347"/>
      <c r="X172" s="348" t="str">
        <f t="shared" si="5"/>
        <v> </v>
      </c>
      <c r="AA172" s="349"/>
      <c r="AB172" s="343"/>
      <c r="AC172" s="343"/>
      <c r="AD172" s="367"/>
      <c r="AE172" s="368"/>
      <c r="AF172" s="347"/>
      <c r="AG172" s="348" t="str">
        <f t="shared" si="6"/>
        <v> </v>
      </c>
    </row>
    <row r="173">
      <c r="A173" s="305"/>
      <c r="B173" s="301"/>
      <c r="C173" s="301"/>
      <c r="D173" s="300"/>
      <c r="E173" s="300"/>
      <c r="F173" s="300"/>
      <c r="G173" s="300"/>
      <c r="H173" s="305"/>
      <c r="I173" s="349"/>
      <c r="J173" s="343"/>
      <c r="K173" s="343"/>
      <c r="L173" s="367"/>
      <c r="M173" s="368"/>
      <c r="N173" s="347"/>
      <c r="O173" s="348" t="str">
        <f t="shared" si="4"/>
        <v> </v>
      </c>
      <c r="P173" s="307"/>
      <c r="R173" s="349"/>
      <c r="S173" s="343"/>
      <c r="T173" s="343"/>
      <c r="U173" s="367"/>
      <c r="V173" s="368"/>
      <c r="W173" s="347"/>
      <c r="X173" s="348" t="str">
        <f t="shared" si="5"/>
        <v> </v>
      </c>
      <c r="AA173" s="349"/>
      <c r="AB173" s="343"/>
      <c r="AC173" s="343"/>
      <c r="AD173" s="367"/>
      <c r="AE173" s="368"/>
      <c r="AF173" s="347"/>
      <c r="AG173" s="348" t="str">
        <f t="shared" si="6"/>
        <v> </v>
      </c>
    </row>
    <row r="174" ht="15.75" customHeight="1">
      <c r="A174" s="305"/>
      <c r="B174" s="301"/>
      <c r="C174" s="301"/>
      <c r="D174" s="300"/>
      <c r="E174" s="300"/>
      <c r="F174" s="300"/>
      <c r="G174" s="300"/>
      <c r="H174" s="305"/>
      <c r="I174" s="349"/>
      <c r="J174" s="343"/>
      <c r="K174" s="343"/>
      <c r="L174" s="367"/>
      <c r="M174" s="367"/>
      <c r="N174" s="347"/>
      <c r="O174" s="348" t="str">
        <f t="shared" si="4"/>
        <v> </v>
      </c>
      <c r="P174" s="307"/>
      <c r="R174" s="349"/>
      <c r="S174" s="343"/>
      <c r="T174" s="343"/>
      <c r="U174" s="367"/>
      <c r="V174" s="367"/>
      <c r="W174" s="347"/>
      <c r="X174" s="348" t="str">
        <f t="shared" si="5"/>
        <v> </v>
      </c>
      <c r="AA174" s="349"/>
      <c r="AB174" s="343"/>
      <c r="AC174" s="343"/>
      <c r="AD174" s="367"/>
      <c r="AE174" s="367"/>
      <c r="AF174" s="347"/>
      <c r="AG174" s="348" t="str">
        <f t="shared" si="6"/>
        <v> </v>
      </c>
    </row>
    <row r="175" ht="15.75" customHeight="1">
      <c r="A175" s="305"/>
      <c r="B175" s="301"/>
      <c r="C175" s="301"/>
      <c r="D175" s="300"/>
      <c r="E175" s="300"/>
      <c r="F175" s="300"/>
      <c r="G175" s="300"/>
      <c r="H175" s="305"/>
      <c r="I175" s="349"/>
      <c r="J175" s="343"/>
      <c r="K175" s="343"/>
      <c r="L175" s="367"/>
      <c r="M175" s="367"/>
      <c r="N175" s="347"/>
      <c r="O175" s="348" t="str">
        <f t="shared" si="4"/>
        <v> </v>
      </c>
      <c r="P175" s="307"/>
      <c r="R175" s="349"/>
      <c r="S175" s="343"/>
      <c r="T175" s="343"/>
      <c r="U175" s="367"/>
      <c r="V175" s="367"/>
      <c r="W175" s="347"/>
      <c r="X175" s="348" t="str">
        <f t="shared" si="5"/>
        <v> </v>
      </c>
      <c r="AA175" s="349"/>
      <c r="AB175" s="343"/>
      <c r="AC175" s="343"/>
      <c r="AD175" s="367"/>
      <c r="AE175" s="367"/>
      <c r="AF175" s="347"/>
      <c r="AG175" s="348" t="str">
        <f t="shared" si="6"/>
        <v> </v>
      </c>
    </row>
    <row r="176" ht="15.75" customHeight="1">
      <c r="A176" s="305"/>
      <c r="B176" s="301"/>
      <c r="C176" s="301"/>
      <c r="D176" s="300"/>
      <c r="E176" s="300"/>
      <c r="F176" s="300"/>
      <c r="G176" s="300"/>
      <c r="H176" s="305"/>
      <c r="I176" s="349"/>
      <c r="J176" s="343"/>
      <c r="K176" s="343"/>
      <c r="L176" s="367"/>
      <c r="M176" s="367"/>
      <c r="N176" s="347"/>
      <c r="O176" s="348" t="str">
        <f t="shared" si="4"/>
        <v> </v>
      </c>
      <c r="P176" s="307"/>
      <c r="R176" s="349"/>
      <c r="S176" s="343"/>
      <c r="T176" s="343"/>
      <c r="U176" s="367"/>
      <c r="V176" s="367"/>
      <c r="W176" s="347"/>
      <c r="X176" s="348" t="str">
        <f t="shared" si="5"/>
        <v> </v>
      </c>
      <c r="AA176" s="349"/>
      <c r="AB176" s="343"/>
      <c r="AC176" s="343"/>
      <c r="AD176" s="367"/>
      <c r="AE176" s="367"/>
      <c r="AF176" s="347"/>
      <c r="AG176" s="348" t="str">
        <f t="shared" si="6"/>
        <v> </v>
      </c>
    </row>
    <row r="177" ht="15.75" customHeight="1">
      <c r="A177" s="305"/>
      <c r="B177" s="301"/>
      <c r="C177" s="301"/>
      <c r="D177" s="300"/>
      <c r="E177" s="300"/>
      <c r="F177" s="300"/>
      <c r="G177" s="300"/>
      <c r="H177" s="305"/>
      <c r="I177" s="349"/>
      <c r="J177" s="343"/>
      <c r="K177" s="343"/>
      <c r="L177" s="367"/>
      <c r="M177" s="367"/>
      <c r="N177" s="347"/>
      <c r="O177" s="348" t="str">
        <f t="shared" si="4"/>
        <v> </v>
      </c>
      <c r="P177" s="307"/>
      <c r="R177" s="349"/>
      <c r="S177" s="343"/>
      <c r="T177" s="343"/>
      <c r="U177" s="367"/>
      <c r="V177" s="367"/>
      <c r="W177" s="347"/>
      <c r="X177" s="348" t="str">
        <f t="shared" si="5"/>
        <v> </v>
      </c>
      <c r="AA177" s="349"/>
      <c r="AB177" s="343"/>
      <c r="AC177" s="343"/>
      <c r="AD177" s="367"/>
      <c r="AE177" s="367"/>
      <c r="AF177" s="347"/>
      <c r="AG177" s="348" t="str">
        <f t="shared" si="6"/>
        <v> </v>
      </c>
    </row>
    <row r="178" ht="15.75" customHeight="1">
      <c r="A178" s="305"/>
      <c r="B178" s="301"/>
      <c r="C178" s="301"/>
      <c r="D178" s="300"/>
      <c r="E178" s="300"/>
      <c r="F178" s="300"/>
      <c r="G178" s="300"/>
      <c r="H178" s="305"/>
      <c r="I178" s="349"/>
      <c r="J178" s="343"/>
      <c r="K178" s="343"/>
      <c r="L178" s="367"/>
      <c r="M178" s="367"/>
      <c r="N178" s="376"/>
      <c r="O178" s="348" t="str">
        <f t="shared" si="4"/>
        <v> </v>
      </c>
      <c r="P178" s="307"/>
      <c r="R178" s="349"/>
      <c r="S178" s="343"/>
      <c r="T178" s="343"/>
      <c r="U178" s="367"/>
      <c r="V178" s="367"/>
      <c r="W178" s="376"/>
      <c r="X178" s="348" t="str">
        <f t="shared" si="5"/>
        <v> </v>
      </c>
      <c r="AA178" s="349"/>
      <c r="AB178" s="343"/>
      <c r="AC178" s="343"/>
      <c r="AD178" s="367"/>
      <c r="AE178" s="367"/>
      <c r="AF178" s="376"/>
      <c r="AG178" s="348" t="str">
        <f t="shared" si="6"/>
        <v> </v>
      </c>
    </row>
    <row r="179" ht="15.75" customHeight="1">
      <c r="A179" s="305"/>
      <c r="B179" s="301"/>
      <c r="C179" s="301"/>
      <c r="D179" s="300"/>
      <c r="E179" s="300"/>
      <c r="F179" s="300"/>
      <c r="G179" s="300"/>
      <c r="H179" s="305"/>
      <c r="I179" s="349"/>
      <c r="J179" s="343"/>
      <c r="K179" s="343"/>
      <c r="L179" s="367"/>
      <c r="M179" s="367"/>
      <c r="N179" s="376"/>
      <c r="O179" s="348" t="str">
        <f t="shared" si="4"/>
        <v> </v>
      </c>
      <c r="P179" s="307"/>
      <c r="R179" s="349"/>
      <c r="S179" s="343"/>
      <c r="T179" s="343"/>
      <c r="U179" s="367"/>
      <c r="V179" s="367"/>
      <c r="W179" s="376"/>
      <c r="X179" s="348" t="str">
        <f t="shared" si="5"/>
        <v> </v>
      </c>
      <c r="AA179" s="349"/>
      <c r="AB179" s="343"/>
      <c r="AC179" s="343"/>
      <c r="AD179" s="367"/>
      <c r="AE179" s="367"/>
      <c r="AF179" s="376"/>
      <c r="AG179" s="348" t="str">
        <f t="shared" si="6"/>
        <v> </v>
      </c>
    </row>
    <row r="180" ht="15.75" customHeight="1">
      <c r="A180" s="305"/>
      <c r="B180" s="301"/>
      <c r="C180" s="301"/>
      <c r="D180" s="300"/>
      <c r="E180" s="300"/>
      <c r="F180" s="300"/>
      <c r="G180" s="300"/>
      <c r="H180" s="305"/>
      <c r="I180" s="349"/>
      <c r="J180" s="343"/>
      <c r="K180" s="343"/>
      <c r="L180" s="367"/>
      <c r="M180" s="367"/>
      <c r="N180" s="347"/>
      <c r="O180" s="348" t="str">
        <f t="shared" si="4"/>
        <v> </v>
      </c>
      <c r="P180" s="307"/>
      <c r="R180" s="349"/>
      <c r="S180" s="343"/>
      <c r="T180" s="343"/>
      <c r="U180" s="367"/>
      <c r="V180" s="367"/>
      <c r="W180" s="347"/>
      <c r="X180" s="348" t="str">
        <f t="shared" si="5"/>
        <v> </v>
      </c>
      <c r="AA180" s="349"/>
      <c r="AB180" s="343"/>
      <c r="AC180" s="343"/>
      <c r="AD180" s="367"/>
      <c r="AE180" s="367"/>
      <c r="AF180" s="347"/>
      <c r="AG180" s="348" t="str">
        <f t="shared" si="6"/>
        <v> </v>
      </c>
    </row>
    <row r="181" ht="15.75" customHeight="1">
      <c r="A181" s="305"/>
      <c r="B181" s="301"/>
      <c r="C181" s="301"/>
      <c r="D181" s="300"/>
      <c r="E181" s="300"/>
      <c r="F181" s="300"/>
      <c r="G181" s="300"/>
      <c r="H181" s="305"/>
      <c r="I181" s="349"/>
      <c r="J181" s="343"/>
      <c r="K181" s="343"/>
      <c r="L181" s="367"/>
      <c r="M181" s="367"/>
      <c r="N181" s="347"/>
      <c r="O181" s="348" t="str">
        <f t="shared" si="4"/>
        <v> </v>
      </c>
      <c r="P181" s="307"/>
      <c r="R181" s="349"/>
      <c r="S181" s="343"/>
      <c r="T181" s="343"/>
      <c r="U181" s="367"/>
      <c r="V181" s="367"/>
      <c r="W181" s="347"/>
      <c r="X181" s="348" t="str">
        <f t="shared" si="5"/>
        <v> </v>
      </c>
      <c r="AA181" s="349"/>
      <c r="AB181" s="343"/>
      <c r="AC181" s="343"/>
      <c r="AD181" s="367"/>
      <c r="AE181" s="367"/>
      <c r="AF181" s="347"/>
      <c r="AG181" s="348" t="str">
        <f t="shared" si="6"/>
        <v> </v>
      </c>
    </row>
    <row r="182" ht="15.75" customHeight="1">
      <c r="A182" s="305"/>
      <c r="B182" s="301"/>
      <c r="C182" s="301"/>
      <c r="D182" s="300"/>
      <c r="E182" s="300"/>
      <c r="F182" s="300"/>
      <c r="G182" s="300"/>
      <c r="H182" s="305"/>
      <c r="I182" s="349"/>
      <c r="J182" s="343"/>
      <c r="K182" s="343"/>
      <c r="L182" s="367"/>
      <c r="M182" s="367"/>
      <c r="N182" s="347"/>
      <c r="O182" s="348" t="str">
        <f t="shared" si="4"/>
        <v> </v>
      </c>
      <c r="P182" s="307"/>
      <c r="R182" s="349"/>
      <c r="S182" s="343"/>
      <c r="T182" s="343"/>
      <c r="U182" s="367"/>
      <c r="V182" s="367"/>
      <c r="W182" s="347"/>
      <c r="X182" s="348" t="str">
        <f t="shared" si="5"/>
        <v> </v>
      </c>
      <c r="AA182" s="349"/>
      <c r="AB182" s="343"/>
      <c r="AC182" s="343"/>
      <c r="AD182" s="367"/>
      <c r="AE182" s="367"/>
      <c r="AF182" s="347"/>
      <c r="AG182" s="348" t="str">
        <f t="shared" si="6"/>
        <v> </v>
      </c>
    </row>
    <row r="183" ht="31.5" customHeight="1">
      <c r="A183" s="305"/>
      <c r="B183" s="301"/>
      <c r="C183" s="301"/>
      <c r="D183" s="300"/>
      <c r="E183" s="300"/>
      <c r="F183" s="300"/>
      <c r="G183" s="300"/>
      <c r="H183" s="305"/>
      <c r="I183" s="349"/>
      <c r="J183" s="343"/>
      <c r="K183" s="343"/>
      <c r="L183" s="367"/>
      <c r="M183" s="367"/>
      <c r="N183" s="347"/>
      <c r="O183" s="348" t="str">
        <f t="shared" si="4"/>
        <v> </v>
      </c>
      <c r="P183" s="307"/>
      <c r="R183" s="349"/>
      <c r="S183" s="343"/>
      <c r="T183" s="343"/>
      <c r="U183" s="367"/>
      <c r="V183" s="367"/>
      <c r="W183" s="347"/>
      <c r="X183" s="348" t="str">
        <f t="shared" si="5"/>
        <v> </v>
      </c>
      <c r="AA183" s="349"/>
      <c r="AB183" s="343"/>
      <c r="AC183" s="343"/>
      <c r="AD183" s="367"/>
      <c r="AE183" s="367"/>
      <c r="AF183" s="347"/>
      <c r="AG183" s="348" t="str">
        <f t="shared" si="6"/>
        <v> </v>
      </c>
    </row>
    <row r="184" ht="15.75" customHeight="1">
      <c r="A184" s="305"/>
      <c r="B184" s="301"/>
      <c r="C184" s="301"/>
      <c r="D184" s="300"/>
      <c r="E184" s="300"/>
      <c r="F184" s="300"/>
      <c r="G184" s="300"/>
      <c r="H184" s="305"/>
      <c r="I184" s="349"/>
      <c r="J184" s="343"/>
      <c r="K184" s="343"/>
      <c r="L184" s="367"/>
      <c r="M184" s="367"/>
      <c r="N184" s="347"/>
      <c r="O184" s="348" t="str">
        <f t="shared" si="4"/>
        <v> </v>
      </c>
      <c r="P184" s="307"/>
      <c r="R184" s="349"/>
      <c r="S184" s="343"/>
      <c r="T184" s="343"/>
      <c r="U184" s="367"/>
      <c r="V184" s="367"/>
      <c r="W184" s="347"/>
      <c r="X184" s="348" t="str">
        <f t="shared" si="5"/>
        <v> </v>
      </c>
      <c r="AA184" s="349"/>
      <c r="AB184" s="343"/>
      <c r="AC184" s="343"/>
      <c r="AD184" s="367"/>
      <c r="AE184" s="367"/>
      <c r="AF184" s="347"/>
      <c r="AG184" s="348" t="str">
        <f t="shared" si="6"/>
        <v> </v>
      </c>
    </row>
    <row r="185" ht="15.75" customHeight="1">
      <c r="A185" s="305"/>
      <c r="B185" s="301"/>
      <c r="C185" s="301"/>
      <c r="D185" s="300"/>
      <c r="E185" s="300"/>
      <c r="F185" s="300"/>
      <c r="G185" s="300"/>
      <c r="H185" s="305"/>
      <c r="I185" s="349"/>
      <c r="J185" s="343"/>
      <c r="K185" s="343"/>
      <c r="L185" s="367"/>
      <c r="M185" s="367"/>
      <c r="N185" s="347"/>
      <c r="O185" s="348" t="str">
        <f t="shared" si="4"/>
        <v> </v>
      </c>
      <c r="P185" s="307"/>
      <c r="R185" s="349"/>
      <c r="S185" s="343"/>
      <c r="T185" s="343"/>
      <c r="U185" s="367"/>
      <c r="V185" s="367"/>
      <c r="W185" s="347"/>
      <c r="X185" s="348" t="str">
        <f t="shared" si="5"/>
        <v> </v>
      </c>
      <c r="AA185" s="349"/>
      <c r="AB185" s="343"/>
      <c r="AC185" s="343"/>
      <c r="AD185" s="367"/>
      <c r="AE185" s="367"/>
      <c r="AF185" s="347"/>
      <c r="AG185" s="348" t="str">
        <f t="shared" si="6"/>
        <v> </v>
      </c>
    </row>
    <row r="186" ht="15.75" customHeight="1">
      <c r="A186" s="305"/>
      <c r="B186" s="301"/>
      <c r="C186" s="301"/>
      <c r="D186" s="300"/>
      <c r="E186" s="300"/>
      <c r="F186" s="300"/>
      <c r="G186" s="300"/>
      <c r="H186" s="305"/>
      <c r="I186" s="349"/>
      <c r="J186" s="343"/>
      <c r="K186" s="343"/>
      <c r="L186" s="367"/>
      <c r="M186" s="367"/>
      <c r="N186" s="347"/>
      <c r="O186" s="348" t="str">
        <f t="shared" si="4"/>
        <v> </v>
      </c>
      <c r="P186" s="307"/>
      <c r="R186" s="349"/>
      <c r="S186" s="343"/>
      <c r="T186" s="343"/>
      <c r="U186" s="367"/>
      <c r="V186" s="367"/>
      <c r="W186" s="347"/>
      <c r="X186" s="348" t="str">
        <f t="shared" si="5"/>
        <v> </v>
      </c>
      <c r="AA186" s="349"/>
      <c r="AB186" s="343"/>
      <c r="AC186" s="343"/>
      <c r="AD186" s="367"/>
      <c r="AE186" s="367"/>
      <c r="AF186" s="347"/>
      <c r="AG186" s="348" t="str">
        <f t="shared" si="6"/>
        <v> </v>
      </c>
    </row>
    <row r="187" ht="15.75" customHeight="1">
      <c r="A187" s="305"/>
      <c r="B187" s="301"/>
      <c r="C187" s="301"/>
      <c r="D187" s="300"/>
      <c r="E187" s="300"/>
      <c r="F187" s="300"/>
      <c r="G187" s="300"/>
      <c r="H187" s="305"/>
      <c r="I187" s="349"/>
      <c r="J187" s="343"/>
      <c r="K187" s="343"/>
      <c r="L187" s="367"/>
      <c r="M187" s="367"/>
      <c r="N187" s="347"/>
      <c r="O187" s="348" t="str">
        <f t="shared" si="4"/>
        <v> </v>
      </c>
      <c r="P187" s="307"/>
      <c r="R187" s="349"/>
      <c r="S187" s="343"/>
      <c r="T187" s="343"/>
      <c r="U187" s="367"/>
      <c r="V187" s="367"/>
      <c r="W187" s="347"/>
      <c r="X187" s="348" t="str">
        <f t="shared" si="5"/>
        <v> </v>
      </c>
      <c r="AA187" s="349"/>
      <c r="AB187" s="343"/>
      <c r="AC187" s="343"/>
      <c r="AD187" s="367"/>
      <c r="AE187" s="367"/>
      <c r="AF187" s="347"/>
      <c r="AG187" s="348" t="str">
        <f t="shared" si="6"/>
        <v> </v>
      </c>
    </row>
    <row r="188" ht="15.75" customHeight="1">
      <c r="A188" s="305"/>
      <c r="B188" s="301"/>
      <c r="C188" s="301"/>
      <c r="D188" s="300"/>
      <c r="E188" s="300"/>
      <c r="F188" s="300"/>
      <c r="G188" s="300"/>
      <c r="H188" s="305"/>
      <c r="I188" s="349"/>
      <c r="J188" s="343"/>
      <c r="K188" s="343"/>
      <c r="L188" s="367"/>
      <c r="M188" s="367"/>
      <c r="N188" s="347"/>
      <c r="O188" s="348" t="str">
        <f t="shared" si="4"/>
        <v> </v>
      </c>
      <c r="P188" s="307"/>
      <c r="R188" s="349"/>
      <c r="S188" s="343"/>
      <c r="T188" s="343"/>
      <c r="U188" s="367"/>
      <c r="V188" s="367"/>
      <c r="W188" s="347"/>
      <c r="X188" s="348" t="str">
        <f t="shared" si="5"/>
        <v> </v>
      </c>
      <c r="AA188" s="349"/>
      <c r="AB188" s="343"/>
      <c r="AC188" s="343"/>
      <c r="AD188" s="367"/>
      <c r="AE188" s="367"/>
      <c r="AF188" s="347"/>
      <c r="AG188" s="348" t="str">
        <f t="shared" si="6"/>
        <v> </v>
      </c>
    </row>
    <row r="189" ht="15.75" customHeight="1">
      <c r="A189" s="305"/>
      <c r="B189" s="301"/>
      <c r="C189" s="301"/>
      <c r="D189" s="300"/>
      <c r="E189" s="300"/>
      <c r="F189" s="300"/>
      <c r="G189" s="300"/>
      <c r="H189" s="305"/>
      <c r="I189" s="349"/>
      <c r="J189" s="343"/>
      <c r="K189" s="343"/>
      <c r="L189" s="367"/>
      <c r="M189" s="367"/>
      <c r="N189" s="347"/>
      <c r="O189" s="348" t="str">
        <f t="shared" si="4"/>
        <v> </v>
      </c>
      <c r="P189" s="307"/>
      <c r="R189" s="349"/>
      <c r="S189" s="343"/>
      <c r="T189" s="343"/>
      <c r="U189" s="367"/>
      <c r="V189" s="367"/>
      <c r="W189" s="347"/>
      <c r="X189" s="348" t="str">
        <f t="shared" si="5"/>
        <v> </v>
      </c>
      <c r="AA189" s="349"/>
      <c r="AB189" s="343"/>
      <c r="AC189" s="343"/>
      <c r="AD189" s="367"/>
      <c r="AE189" s="367"/>
      <c r="AF189" s="347"/>
      <c r="AG189" s="348" t="str">
        <f t="shared" si="6"/>
        <v> </v>
      </c>
    </row>
    <row r="190">
      <c r="A190" s="305"/>
      <c r="B190" s="301"/>
      <c r="C190" s="301"/>
      <c r="D190" s="300"/>
      <c r="E190" s="300"/>
      <c r="F190" s="300"/>
      <c r="G190" s="300"/>
      <c r="H190" s="305"/>
      <c r="I190" s="349"/>
      <c r="J190" s="343"/>
      <c r="K190" s="343"/>
      <c r="L190" s="367"/>
      <c r="M190" s="367"/>
      <c r="N190" s="347"/>
      <c r="O190" s="348" t="str">
        <f t="shared" si="4"/>
        <v> </v>
      </c>
      <c r="P190" s="307"/>
      <c r="R190" s="349"/>
      <c r="S190" s="343"/>
      <c r="T190" s="343"/>
      <c r="U190" s="367"/>
      <c r="V190" s="367"/>
      <c r="W190" s="347"/>
      <c r="X190" s="348" t="str">
        <f t="shared" si="5"/>
        <v> </v>
      </c>
      <c r="AA190" s="349"/>
      <c r="AB190" s="343"/>
      <c r="AC190" s="343"/>
      <c r="AD190" s="367"/>
      <c r="AE190" s="367"/>
      <c r="AF190" s="347"/>
      <c r="AG190" s="348" t="str">
        <f t="shared" si="6"/>
        <v> </v>
      </c>
    </row>
    <row r="191" ht="15.75" customHeight="1">
      <c r="A191" s="305"/>
      <c r="B191" s="301"/>
      <c r="C191" s="301"/>
      <c r="D191" s="300"/>
      <c r="E191" s="300"/>
      <c r="F191" s="300"/>
      <c r="G191" s="300"/>
      <c r="H191" s="305"/>
      <c r="I191" s="349"/>
      <c r="J191" s="343"/>
      <c r="K191" s="343"/>
      <c r="L191" s="367"/>
      <c r="M191" s="367"/>
      <c r="N191" s="347"/>
      <c r="O191" s="348" t="str">
        <f t="shared" si="4"/>
        <v> </v>
      </c>
      <c r="P191" s="307"/>
      <c r="R191" s="349"/>
      <c r="S191" s="343"/>
      <c r="T191" s="343"/>
      <c r="U191" s="367"/>
      <c r="V191" s="367"/>
      <c r="W191" s="347"/>
      <c r="X191" s="348" t="str">
        <f t="shared" si="5"/>
        <v> </v>
      </c>
      <c r="AA191" s="349"/>
      <c r="AB191" s="343"/>
      <c r="AC191" s="343"/>
      <c r="AD191" s="367"/>
      <c r="AE191" s="367"/>
      <c r="AF191" s="347"/>
      <c r="AG191" s="348" t="str">
        <f t="shared" si="6"/>
        <v> </v>
      </c>
    </row>
    <row r="192" ht="15.75" customHeight="1">
      <c r="A192" s="305"/>
      <c r="B192" s="301"/>
      <c r="C192" s="301"/>
      <c r="D192" s="300"/>
      <c r="E192" s="300"/>
      <c r="F192" s="300"/>
      <c r="G192" s="300"/>
      <c r="H192" s="305"/>
      <c r="I192" s="349"/>
      <c r="J192" s="343"/>
      <c r="K192" s="343"/>
      <c r="L192" s="367"/>
      <c r="M192" s="367"/>
      <c r="N192" s="347"/>
      <c r="O192" s="348" t="str">
        <f t="shared" si="4"/>
        <v> </v>
      </c>
      <c r="P192" s="307"/>
      <c r="R192" s="349"/>
      <c r="S192" s="343"/>
      <c r="T192" s="343"/>
      <c r="U192" s="367"/>
      <c r="V192" s="367"/>
      <c r="W192" s="347"/>
      <c r="X192" s="348" t="str">
        <f t="shared" si="5"/>
        <v> </v>
      </c>
      <c r="AA192" s="349"/>
      <c r="AB192" s="343"/>
      <c r="AC192" s="343"/>
      <c r="AD192" s="367"/>
      <c r="AE192" s="367"/>
      <c r="AF192" s="347"/>
      <c r="AG192" s="348" t="str">
        <f t="shared" si="6"/>
        <v> </v>
      </c>
    </row>
    <row r="193" ht="15.75" customHeight="1">
      <c r="A193" s="305"/>
      <c r="B193" s="301"/>
      <c r="C193" s="301"/>
      <c r="D193" s="300"/>
      <c r="E193" s="300"/>
      <c r="F193" s="300"/>
      <c r="G193" s="300"/>
      <c r="H193" s="305"/>
      <c r="I193" s="349"/>
      <c r="J193" s="343"/>
      <c r="K193" s="343"/>
      <c r="L193" s="367"/>
      <c r="M193" s="367"/>
      <c r="N193" s="347"/>
      <c r="O193" s="348" t="str">
        <f t="shared" si="4"/>
        <v> </v>
      </c>
      <c r="P193" s="307"/>
      <c r="R193" s="349"/>
      <c r="S193" s="343"/>
      <c r="T193" s="343"/>
      <c r="U193" s="367"/>
      <c r="V193" s="367"/>
      <c r="W193" s="347"/>
      <c r="X193" s="348" t="str">
        <f t="shared" si="5"/>
        <v> </v>
      </c>
      <c r="AA193" s="349"/>
      <c r="AB193" s="343"/>
      <c r="AC193" s="343"/>
      <c r="AD193" s="367"/>
      <c r="AE193" s="367"/>
      <c r="AF193" s="347"/>
      <c r="AG193" s="348" t="str">
        <f t="shared" si="6"/>
        <v> </v>
      </c>
    </row>
    <row r="194" ht="15.75" customHeight="1">
      <c r="A194" s="305"/>
      <c r="B194" s="301"/>
      <c r="C194" s="301"/>
      <c r="D194" s="300"/>
      <c r="E194" s="300"/>
      <c r="F194" s="300"/>
      <c r="G194" s="300"/>
      <c r="H194" s="305"/>
      <c r="I194" s="349"/>
      <c r="J194" s="343"/>
      <c r="K194" s="343"/>
      <c r="L194" s="367"/>
      <c r="M194" s="367"/>
      <c r="N194" s="347"/>
      <c r="O194" s="348" t="str">
        <f t="shared" si="4"/>
        <v> </v>
      </c>
      <c r="P194" s="307"/>
      <c r="R194" s="349"/>
      <c r="S194" s="343"/>
      <c r="T194" s="343"/>
      <c r="U194" s="367"/>
      <c r="V194" s="367"/>
      <c r="W194" s="347"/>
      <c r="X194" s="348" t="str">
        <f t="shared" si="5"/>
        <v> </v>
      </c>
      <c r="AA194" s="349"/>
      <c r="AB194" s="343"/>
      <c r="AC194" s="343"/>
      <c r="AD194" s="367"/>
      <c r="AE194" s="367"/>
      <c r="AF194" s="347"/>
      <c r="AG194" s="348" t="str">
        <f t="shared" si="6"/>
        <v> </v>
      </c>
    </row>
    <row r="195" ht="15.75" customHeight="1">
      <c r="A195" s="305"/>
      <c r="B195" s="301"/>
      <c r="C195" s="301"/>
      <c r="D195" s="300"/>
      <c r="E195" s="300"/>
      <c r="F195" s="300"/>
      <c r="G195" s="300"/>
      <c r="H195" s="305"/>
      <c r="I195" s="349"/>
      <c r="J195" s="343"/>
      <c r="K195" s="343"/>
      <c r="L195" s="368"/>
      <c r="M195" s="367"/>
      <c r="N195" s="347"/>
      <c r="O195" s="348" t="str">
        <f t="shared" si="4"/>
        <v> </v>
      </c>
      <c r="P195" s="307"/>
      <c r="R195" s="349"/>
      <c r="S195" s="343"/>
      <c r="T195" s="343"/>
      <c r="U195" s="368"/>
      <c r="V195" s="367"/>
      <c r="W195" s="347"/>
      <c r="X195" s="348" t="str">
        <f t="shared" si="5"/>
        <v> </v>
      </c>
      <c r="AA195" s="349"/>
      <c r="AB195" s="343"/>
      <c r="AC195" s="343"/>
      <c r="AD195" s="368"/>
      <c r="AE195" s="367"/>
      <c r="AF195" s="347"/>
      <c r="AG195" s="348" t="str">
        <f t="shared" si="6"/>
        <v> </v>
      </c>
    </row>
    <row r="196" ht="15.75" customHeight="1">
      <c r="A196" s="305"/>
      <c r="B196" s="301"/>
      <c r="C196" s="301"/>
      <c r="D196" s="300"/>
      <c r="E196" s="300"/>
      <c r="F196" s="300"/>
      <c r="G196" s="300"/>
      <c r="H196" s="305"/>
      <c r="I196" s="349"/>
      <c r="J196" s="343"/>
      <c r="K196" s="343"/>
      <c r="L196" s="368"/>
      <c r="M196" s="367"/>
      <c r="N196" s="347"/>
      <c r="O196" s="348" t="str">
        <f t="shared" si="4"/>
        <v> </v>
      </c>
      <c r="P196" s="307"/>
      <c r="R196" s="349"/>
      <c r="S196" s="343"/>
      <c r="T196" s="343"/>
      <c r="U196" s="368"/>
      <c r="V196" s="367"/>
      <c r="W196" s="347"/>
      <c r="X196" s="348" t="str">
        <f t="shared" si="5"/>
        <v> </v>
      </c>
      <c r="AA196" s="349"/>
      <c r="AB196" s="343"/>
      <c r="AC196" s="343"/>
      <c r="AD196" s="368"/>
      <c r="AE196" s="367"/>
      <c r="AF196" s="347"/>
      <c r="AG196" s="348" t="str">
        <f t="shared" si="6"/>
        <v> </v>
      </c>
    </row>
    <row r="197" ht="15.75" customHeight="1">
      <c r="A197" s="305"/>
      <c r="B197" s="301"/>
      <c r="C197" s="301"/>
      <c r="D197" s="300"/>
      <c r="E197" s="300"/>
      <c r="F197" s="300"/>
      <c r="G197" s="300"/>
      <c r="H197" s="305"/>
      <c r="I197" s="349"/>
      <c r="J197" s="343"/>
      <c r="K197" s="343"/>
      <c r="L197" s="368"/>
      <c r="M197" s="367"/>
      <c r="N197" s="347"/>
      <c r="O197" s="348" t="str">
        <f t="shared" si="4"/>
        <v> </v>
      </c>
      <c r="P197" s="307"/>
      <c r="R197" s="349"/>
      <c r="S197" s="343"/>
      <c r="T197" s="343"/>
      <c r="U197" s="368"/>
      <c r="V197" s="367"/>
      <c r="W197" s="347"/>
      <c r="X197" s="348" t="str">
        <f t="shared" si="5"/>
        <v> </v>
      </c>
      <c r="AA197" s="349"/>
      <c r="AB197" s="343"/>
      <c r="AC197" s="343"/>
      <c r="AD197" s="368"/>
      <c r="AE197" s="367"/>
      <c r="AF197" s="347"/>
      <c r="AG197" s="348" t="str">
        <f t="shared" si="6"/>
        <v> </v>
      </c>
    </row>
    <row r="198" ht="15.75" customHeight="1">
      <c r="A198" s="305"/>
      <c r="B198" s="301"/>
      <c r="C198" s="301"/>
      <c r="D198" s="300"/>
      <c r="E198" s="300"/>
      <c r="F198" s="300"/>
      <c r="G198" s="300"/>
      <c r="H198" s="305"/>
      <c r="I198" s="349"/>
      <c r="J198" s="343"/>
      <c r="K198" s="343"/>
      <c r="L198" s="368"/>
      <c r="M198" s="367"/>
      <c r="N198" s="347"/>
      <c r="O198" s="348" t="str">
        <f t="shared" si="4"/>
        <v> </v>
      </c>
      <c r="P198" s="307"/>
      <c r="R198" s="349"/>
      <c r="S198" s="343"/>
      <c r="T198" s="343"/>
      <c r="U198" s="368"/>
      <c r="V198" s="367"/>
      <c r="W198" s="347"/>
      <c r="X198" s="348" t="str">
        <f t="shared" si="5"/>
        <v> </v>
      </c>
      <c r="AA198" s="349"/>
      <c r="AB198" s="343"/>
      <c r="AC198" s="343"/>
      <c r="AD198" s="368"/>
      <c r="AE198" s="367"/>
      <c r="AF198" s="347"/>
      <c r="AG198" s="348" t="str">
        <f t="shared" si="6"/>
        <v> </v>
      </c>
    </row>
    <row r="199" ht="15.75" customHeight="1">
      <c r="A199" s="305"/>
      <c r="B199" s="301"/>
      <c r="C199" s="301"/>
      <c r="D199" s="300"/>
      <c r="E199" s="300"/>
      <c r="F199" s="300"/>
      <c r="G199" s="300"/>
      <c r="H199" s="305"/>
      <c r="I199" s="349"/>
      <c r="J199" s="343"/>
      <c r="K199" s="343"/>
      <c r="L199" s="368"/>
      <c r="M199" s="367"/>
      <c r="N199" s="347"/>
      <c r="O199" s="348" t="str">
        <f t="shared" si="4"/>
        <v> </v>
      </c>
      <c r="P199" s="307"/>
      <c r="R199" s="349"/>
      <c r="S199" s="343"/>
      <c r="T199" s="343"/>
      <c r="U199" s="368"/>
      <c r="V199" s="367"/>
      <c r="W199" s="347"/>
      <c r="X199" s="348" t="str">
        <f t="shared" si="5"/>
        <v> </v>
      </c>
      <c r="AA199" s="349"/>
      <c r="AB199" s="343"/>
      <c r="AC199" s="343"/>
      <c r="AD199" s="368"/>
      <c r="AE199" s="367"/>
      <c r="AF199" s="347"/>
      <c r="AG199" s="348" t="str">
        <f t="shared" si="6"/>
        <v> </v>
      </c>
    </row>
    <row r="200" ht="15.75" customHeight="1">
      <c r="A200" s="305"/>
      <c r="B200" s="301"/>
      <c r="C200" s="301"/>
      <c r="D200" s="300"/>
      <c r="E200" s="300"/>
      <c r="F200" s="300"/>
      <c r="G200" s="300"/>
      <c r="H200" s="305"/>
      <c r="I200" s="349"/>
      <c r="J200" s="343"/>
      <c r="K200" s="343"/>
      <c r="L200" s="368"/>
      <c r="M200" s="367"/>
      <c r="N200" s="347"/>
      <c r="O200" s="348" t="str">
        <f t="shared" si="4"/>
        <v> </v>
      </c>
      <c r="P200" s="354"/>
      <c r="R200" s="349"/>
      <c r="S200" s="343"/>
      <c r="T200" s="343"/>
      <c r="U200" s="368"/>
      <c r="V200" s="367"/>
      <c r="W200" s="347"/>
      <c r="X200" s="348" t="str">
        <f t="shared" si="5"/>
        <v> </v>
      </c>
      <c r="AA200" s="349"/>
      <c r="AB200" s="343"/>
      <c r="AC200" s="343"/>
      <c r="AD200" s="368"/>
      <c r="AE200" s="367"/>
      <c r="AF200" s="347"/>
      <c r="AG200" s="348" t="str">
        <f t="shared" si="6"/>
        <v> </v>
      </c>
    </row>
    <row r="201" ht="15.75" customHeight="1">
      <c r="A201" s="305"/>
      <c r="B201" s="301"/>
      <c r="C201" s="301"/>
      <c r="D201" s="300"/>
      <c r="E201" s="300"/>
      <c r="F201" s="300"/>
      <c r="G201" s="300"/>
      <c r="H201" s="305"/>
      <c r="I201" s="349"/>
      <c r="J201" s="343"/>
      <c r="K201" s="343"/>
      <c r="L201" s="367"/>
      <c r="M201" s="367"/>
      <c r="N201" s="347"/>
      <c r="O201" s="348" t="str">
        <f t="shared" si="4"/>
        <v> </v>
      </c>
      <c r="P201" s="307"/>
      <c r="R201" s="349"/>
      <c r="S201" s="343"/>
      <c r="T201" s="343"/>
      <c r="U201" s="367"/>
      <c r="V201" s="367"/>
      <c r="W201" s="347"/>
      <c r="X201" s="348" t="str">
        <f t="shared" si="5"/>
        <v> </v>
      </c>
      <c r="AA201" s="349"/>
      <c r="AB201" s="343"/>
      <c r="AC201" s="343"/>
      <c r="AD201" s="367"/>
      <c r="AE201" s="367"/>
      <c r="AF201" s="347"/>
      <c r="AG201" s="348" t="str">
        <f t="shared" si="6"/>
        <v> </v>
      </c>
    </row>
    <row r="202" ht="15.75" customHeight="1">
      <c r="A202" s="305"/>
      <c r="B202" s="301"/>
      <c r="C202" s="301"/>
      <c r="D202" s="300"/>
      <c r="E202" s="300"/>
      <c r="F202" s="300"/>
      <c r="G202" s="300"/>
      <c r="H202" s="305"/>
      <c r="I202" s="349"/>
      <c r="J202" s="343"/>
      <c r="K202" s="343"/>
      <c r="L202" s="367"/>
      <c r="M202" s="367"/>
      <c r="N202" s="347"/>
      <c r="O202" s="348" t="str">
        <f t="shared" si="4"/>
        <v> </v>
      </c>
      <c r="P202" s="307"/>
      <c r="R202" s="349"/>
      <c r="S202" s="343"/>
      <c r="T202" s="343"/>
      <c r="U202" s="367"/>
      <c r="V202" s="367"/>
      <c r="W202" s="347"/>
      <c r="X202" s="348" t="str">
        <f t="shared" si="5"/>
        <v> </v>
      </c>
      <c r="AA202" s="349"/>
      <c r="AB202" s="343"/>
      <c r="AC202" s="343"/>
      <c r="AD202" s="367"/>
      <c r="AE202" s="367"/>
      <c r="AF202" s="347"/>
      <c r="AG202" s="348" t="str">
        <f t="shared" si="6"/>
        <v> </v>
      </c>
    </row>
    <row r="203" ht="15.75" customHeight="1">
      <c r="A203" s="305"/>
      <c r="B203" s="301"/>
      <c r="C203" s="301"/>
      <c r="D203" s="300"/>
      <c r="E203" s="300"/>
      <c r="F203" s="300"/>
      <c r="G203" s="300"/>
      <c r="H203" s="305"/>
      <c r="I203" s="349"/>
      <c r="J203" s="343"/>
      <c r="K203" s="343"/>
      <c r="L203" s="367"/>
      <c r="M203" s="367"/>
      <c r="N203" s="347"/>
      <c r="O203" s="348" t="str">
        <f t="shared" si="4"/>
        <v> </v>
      </c>
      <c r="P203" s="307"/>
      <c r="R203" s="349"/>
      <c r="S203" s="343"/>
      <c r="T203" s="343"/>
      <c r="U203" s="367"/>
      <c r="V203" s="367"/>
      <c r="W203" s="347"/>
      <c r="X203" s="348" t="str">
        <f t="shared" si="5"/>
        <v> </v>
      </c>
      <c r="AA203" s="349"/>
      <c r="AB203" s="343"/>
      <c r="AC203" s="343"/>
      <c r="AD203" s="367"/>
      <c r="AE203" s="367"/>
      <c r="AF203" s="347"/>
      <c r="AG203" s="348" t="str">
        <f t="shared" si="6"/>
        <v> </v>
      </c>
    </row>
    <row r="204" ht="15.75" customHeight="1">
      <c r="A204" s="305"/>
      <c r="B204" s="301"/>
      <c r="C204" s="301"/>
      <c r="D204" s="300"/>
      <c r="E204" s="300"/>
      <c r="F204" s="300"/>
      <c r="G204" s="300"/>
      <c r="H204" s="305"/>
      <c r="I204" s="349"/>
      <c r="J204" s="343"/>
      <c r="K204" s="343"/>
      <c r="L204" s="368"/>
      <c r="M204" s="367"/>
      <c r="N204" s="347"/>
      <c r="O204" s="348" t="str">
        <f t="shared" si="4"/>
        <v> </v>
      </c>
      <c r="P204" s="307"/>
      <c r="R204" s="349"/>
      <c r="S204" s="343"/>
      <c r="T204" s="343"/>
      <c r="U204" s="368"/>
      <c r="V204" s="367"/>
      <c r="W204" s="347"/>
      <c r="X204" s="348" t="str">
        <f t="shared" si="5"/>
        <v> </v>
      </c>
      <c r="AA204" s="349"/>
      <c r="AB204" s="343"/>
      <c r="AC204" s="343"/>
      <c r="AD204" s="368"/>
      <c r="AE204" s="367"/>
      <c r="AF204" s="347"/>
      <c r="AG204" s="348" t="str">
        <f t="shared" si="6"/>
        <v> </v>
      </c>
    </row>
    <row r="205" ht="15.75" customHeight="1">
      <c r="A205" s="305"/>
      <c r="B205" s="301"/>
      <c r="C205" s="301"/>
      <c r="D205" s="300"/>
      <c r="E205" s="300"/>
      <c r="F205" s="300"/>
      <c r="G205" s="300"/>
      <c r="H205" s="305"/>
      <c r="I205" s="349"/>
      <c r="J205" s="343"/>
      <c r="K205" s="343"/>
      <c r="L205" s="368"/>
      <c r="M205" s="367"/>
      <c r="N205" s="347"/>
      <c r="O205" s="348" t="str">
        <f t="shared" si="4"/>
        <v> </v>
      </c>
      <c r="P205" s="307"/>
      <c r="R205" s="349"/>
      <c r="S205" s="343"/>
      <c r="T205" s="343"/>
      <c r="U205" s="368"/>
      <c r="V205" s="367"/>
      <c r="W205" s="347"/>
      <c r="X205" s="348" t="str">
        <f t="shared" si="5"/>
        <v> </v>
      </c>
      <c r="AA205" s="349"/>
      <c r="AB205" s="343"/>
      <c r="AC205" s="343"/>
      <c r="AD205" s="368"/>
      <c r="AE205" s="367"/>
      <c r="AF205" s="347"/>
      <c r="AG205" s="348" t="str">
        <f t="shared" si="6"/>
        <v> </v>
      </c>
    </row>
    <row r="206" ht="15.75" customHeight="1">
      <c r="A206" s="305"/>
      <c r="B206" s="301"/>
      <c r="C206" s="301"/>
      <c r="D206" s="300"/>
      <c r="E206" s="300"/>
      <c r="F206" s="300"/>
      <c r="G206" s="300"/>
      <c r="H206" s="305"/>
      <c r="I206" s="377"/>
      <c r="J206" s="343"/>
      <c r="K206" s="343"/>
      <c r="L206" s="367"/>
      <c r="M206" s="367"/>
      <c r="N206" s="347"/>
      <c r="O206" s="348" t="str">
        <f t="shared" si="4"/>
        <v> </v>
      </c>
      <c r="P206" s="307"/>
      <c r="R206" s="377"/>
      <c r="S206" s="343"/>
      <c r="T206" s="343"/>
      <c r="U206" s="367"/>
      <c r="V206" s="367"/>
      <c r="W206" s="347"/>
      <c r="X206" s="348" t="str">
        <f t="shared" si="5"/>
        <v> </v>
      </c>
      <c r="AA206" s="377"/>
      <c r="AB206" s="343"/>
      <c r="AC206" s="343"/>
      <c r="AD206" s="367"/>
      <c r="AE206" s="367"/>
      <c r="AF206" s="347"/>
      <c r="AG206" s="348" t="str">
        <f t="shared" si="6"/>
        <v> </v>
      </c>
    </row>
    <row r="207" ht="29.25" customHeight="1">
      <c r="A207" s="305"/>
      <c r="B207" s="301"/>
      <c r="C207" s="301"/>
      <c r="D207" s="300"/>
      <c r="E207" s="300"/>
      <c r="F207" s="300"/>
      <c r="G207" s="300"/>
      <c r="H207" s="305"/>
      <c r="I207" s="377"/>
      <c r="J207" s="343"/>
      <c r="K207" s="343"/>
      <c r="L207" s="367"/>
      <c r="M207" s="367"/>
      <c r="N207" s="347"/>
      <c r="O207" s="348" t="str">
        <f t="shared" si="4"/>
        <v> </v>
      </c>
      <c r="P207" s="307"/>
      <c r="R207" s="377"/>
      <c r="S207" s="343"/>
      <c r="T207" s="343"/>
      <c r="U207" s="367"/>
      <c r="V207" s="367"/>
      <c r="W207" s="347"/>
      <c r="X207" s="348" t="str">
        <f t="shared" si="5"/>
        <v> </v>
      </c>
      <c r="AA207" s="377"/>
      <c r="AB207" s="343"/>
      <c r="AC207" s="343"/>
      <c r="AD207" s="367"/>
      <c r="AE207" s="367"/>
      <c r="AF207" s="347"/>
      <c r="AG207" s="348" t="str">
        <f t="shared" si="6"/>
        <v> </v>
      </c>
    </row>
    <row r="208" ht="15.75" customHeight="1">
      <c r="A208" s="305"/>
      <c r="B208" s="301"/>
      <c r="C208" s="301"/>
      <c r="D208" s="300"/>
      <c r="E208" s="300"/>
      <c r="F208" s="300"/>
      <c r="G208" s="300"/>
      <c r="H208" s="305"/>
      <c r="I208" s="377"/>
      <c r="J208" s="343"/>
      <c r="K208" s="343"/>
      <c r="L208" s="368"/>
      <c r="M208" s="367"/>
      <c r="N208" s="347"/>
      <c r="O208" s="348" t="str">
        <f t="shared" si="4"/>
        <v> </v>
      </c>
      <c r="P208" s="307"/>
      <c r="R208" s="377"/>
      <c r="S208" s="343"/>
      <c r="T208" s="343"/>
      <c r="U208" s="368"/>
      <c r="V208" s="367"/>
      <c r="W208" s="347"/>
      <c r="X208" s="348" t="str">
        <f t="shared" si="5"/>
        <v> </v>
      </c>
      <c r="AA208" s="377"/>
      <c r="AB208" s="343"/>
      <c r="AC208" s="343"/>
      <c r="AD208" s="368"/>
      <c r="AE208" s="367"/>
      <c r="AF208" s="347"/>
      <c r="AG208" s="348" t="str">
        <f t="shared" si="6"/>
        <v> </v>
      </c>
    </row>
    <row r="209" ht="15.75" customHeight="1">
      <c r="A209" s="305"/>
      <c r="B209" s="301"/>
      <c r="C209" s="301"/>
      <c r="D209" s="300"/>
      <c r="E209" s="300"/>
      <c r="F209" s="300"/>
      <c r="G209" s="300"/>
      <c r="H209" s="305"/>
      <c r="I209" s="377"/>
      <c r="J209" s="343"/>
      <c r="K209" s="343"/>
      <c r="L209" s="368"/>
      <c r="M209" s="367"/>
      <c r="N209" s="347"/>
      <c r="O209" s="348" t="str">
        <f t="shared" si="4"/>
        <v> </v>
      </c>
      <c r="P209" s="307"/>
      <c r="R209" s="377"/>
      <c r="S209" s="343"/>
      <c r="T209" s="343"/>
      <c r="U209" s="368"/>
      <c r="V209" s="367"/>
      <c r="W209" s="347"/>
      <c r="X209" s="348" t="str">
        <f t="shared" si="5"/>
        <v> </v>
      </c>
      <c r="AA209" s="377"/>
      <c r="AB209" s="343"/>
      <c r="AC209" s="343"/>
      <c r="AD209" s="368"/>
      <c r="AE209" s="367"/>
      <c r="AF209" s="347"/>
      <c r="AG209" s="348" t="str">
        <f t="shared" si="6"/>
        <v> </v>
      </c>
    </row>
    <row r="210" ht="15.75" customHeight="1">
      <c r="A210" s="305"/>
      <c r="B210" s="301"/>
      <c r="C210" s="301"/>
      <c r="D210" s="300"/>
      <c r="E210" s="300"/>
      <c r="F210" s="300"/>
      <c r="G210" s="300"/>
      <c r="H210" s="305"/>
      <c r="I210" s="377"/>
      <c r="J210" s="343"/>
      <c r="K210" s="343"/>
      <c r="L210" s="367"/>
      <c r="M210" s="367"/>
      <c r="N210" s="347"/>
      <c r="O210" s="348" t="str">
        <f t="shared" si="4"/>
        <v> </v>
      </c>
      <c r="P210" s="307"/>
      <c r="R210" s="377"/>
      <c r="S210" s="343"/>
      <c r="T210" s="343"/>
      <c r="U210" s="367"/>
      <c r="V210" s="367"/>
      <c r="W210" s="347"/>
      <c r="X210" s="348" t="str">
        <f t="shared" si="5"/>
        <v> </v>
      </c>
      <c r="AA210" s="377"/>
      <c r="AB210" s="343"/>
      <c r="AC210" s="343"/>
      <c r="AD210" s="367"/>
      <c r="AE210" s="367"/>
      <c r="AF210" s="347"/>
      <c r="AG210" s="348" t="str">
        <f t="shared" si="6"/>
        <v> </v>
      </c>
    </row>
    <row r="211" ht="15.75" customHeight="1">
      <c r="A211" s="305"/>
      <c r="B211" s="301"/>
      <c r="C211" s="301"/>
      <c r="D211" s="300"/>
      <c r="E211" s="300"/>
      <c r="F211" s="300"/>
      <c r="G211" s="300"/>
      <c r="H211" s="305"/>
      <c r="I211" s="377"/>
      <c r="J211" s="343"/>
      <c r="K211" s="343"/>
      <c r="L211" s="367"/>
      <c r="M211" s="367"/>
      <c r="N211" s="376"/>
      <c r="O211" s="348" t="str">
        <f t="shared" si="4"/>
        <v> </v>
      </c>
      <c r="P211" s="307"/>
      <c r="R211" s="377"/>
      <c r="S211" s="343"/>
      <c r="T211" s="343"/>
      <c r="U211" s="367"/>
      <c r="V211" s="367"/>
      <c r="W211" s="376"/>
      <c r="X211" s="348" t="str">
        <f t="shared" si="5"/>
        <v> </v>
      </c>
      <c r="AA211" s="377"/>
      <c r="AB211" s="343"/>
      <c r="AC211" s="343"/>
      <c r="AD211" s="367"/>
      <c r="AE211" s="367"/>
      <c r="AF211" s="376"/>
      <c r="AG211" s="348" t="str">
        <f t="shared" si="6"/>
        <v> </v>
      </c>
    </row>
    <row r="212" ht="15.75" customHeight="1">
      <c r="A212" s="305"/>
      <c r="B212" s="301"/>
      <c r="C212" s="301"/>
      <c r="D212" s="300"/>
      <c r="E212" s="300"/>
      <c r="F212" s="300"/>
      <c r="G212" s="300"/>
      <c r="H212" s="305"/>
      <c r="I212" s="377"/>
      <c r="J212" s="343"/>
      <c r="K212" s="343"/>
      <c r="L212" s="367"/>
      <c r="M212" s="367"/>
      <c r="N212" s="376"/>
      <c r="O212" s="348" t="str">
        <f t="shared" si="4"/>
        <v> </v>
      </c>
      <c r="P212" s="307"/>
      <c r="R212" s="377"/>
      <c r="S212" s="343"/>
      <c r="T212" s="343"/>
      <c r="U212" s="367"/>
      <c r="V212" s="367"/>
      <c r="W212" s="376"/>
      <c r="X212" s="348" t="str">
        <f t="shared" si="5"/>
        <v> </v>
      </c>
      <c r="AA212" s="377"/>
      <c r="AB212" s="343"/>
      <c r="AC212" s="343"/>
      <c r="AD212" s="367"/>
      <c r="AE212" s="367"/>
      <c r="AF212" s="376"/>
      <c r="AG212" s="348" t="str">
        <f t="shared" si="6"/>
        <v> </v>
      </c>
    </row>
    <row r="213" ht="15.75" customHeight="1">
      <c r="A213" s="305"/>
      <c r="B213" s="301"/>
      <c r="C213" s="301"/>
      <c r="D213" s="300"/>
      <c r="E213" s="300"/>
      <c r="F213" s="300"/>
      <c r="G213" s="300"/>
      <c r="H213" s="305"/>
      <c r="I213" s="377"/>
      <c r="J213" s="343"/>
      <c r="K213" s="343"/>
      <c r="L213" s="367"/>
      <c r="M213" s="367"/>
      <c r="N213" s="376"/>
      <c r="O213" s="348" t="str">
        <f t="shared" si="4"/>
        <v> </v>
      </c>
      <c r="P213" s="307"/>
      <c r="R213" s="377"/>
      <c r="S213" s="343"/>
      <c r="T213" s="343"/>
      <c r="U213" s="367"/>
      <c r="V213" s="367"/>
      <c r="W213" s="376"/>
      <c r="X213" s="348" t="str">
        <f t="shared" si="5"/>
        <v> </v>
      </c>
      <c r="AA213" s="377"/>
      <c r="AB213" s="343"/>
      <c r="AC213" s="343"/>
      <c r="AD213" s="367"/>
      <c r="AE213" s="367"/>
      <c r="AF213" s="376"/>
      <c r="AG213" s="348" t="str">
        <f t="shared" si="6"/>
        <v> </v>
      </c>
    </row>
    <row r="214" ht="15.75" customHeight="1">
      <c r="A214" s="305"/>
      <c r="B214" s="301"/>
      <c r="C214" s="301"/>
      <c r="D214" s="300"/>
      <c r="E214" s="300"/>
      <c r="F214" s="300"/>
      <c r="G214" s="300"/>
      <c r="H214" s="305"/>
      <c r="I214" s="377"/>
      <c r="J214" s="343"/>
      <c r="K214" s="343"/>
      <c r="L214" s="367"/>
      <c r="M214" s="367"/>
      <c r="N214" s="376"/>
      <c r="O214" s="348" t="str">
        <f t="shared" si="4"/>
        <v> </v>
      </c>
      <c r="P214" s="307"/>
      <c r="R214" s="377"/>
      <c r="S214" s="343"/>
      <c r="T214" s="343"/>
      <c r="U214" s="367"/>
      <c r="V214" s="367"/>
      <c r="W214" s="376"/>
      <c r="X214" s="348" t="str">
        <f t="shared" si="5"/>
        <v> </v>
      </c>
      <c r="AA214" s="377"/>
      <c r="AB214" s="343"/>
      <c r="AC214" s="343"/>
      <c r="AD214" s="367"/>
      <c r="AE214" s="367"/>
      <c r="AF214" s="376"/>
      <c r="AG214" s="348" t="str">
        <f t="shared" si="6"/>
        <v> </v>
      </c>
    </row>
    <row r="215" ht="15.75" customHeight="1">
      <c r="A215" s="305"/>
      <c r="B215" s="301"/>
      <c r="C215" s="301"/>
      <c r="D215" s="300"/>
      <c r="E215" s="300"/>
      <c r="F215" s="300"/>
      <c r="G215" s="300"/>
      <c r="H215" s="305"/>
      <c r="I215" s="377"/>
      <c r="J215" s="343"/>
      <c r="K215" s="343"/>
      <c r="L215" s="367"/>
      <c r="M215" s="367"/>
      <c r="N215" s="376"/>
      <c r="O215" s="348" t="str">
        <f t="shared" si="4"/>
        <v> </v>
      </c>
      <c r="P215" s="307"/>
      <c r="R215" s="377"/>
      <c r="S215" s="343"/>
      <c r="T215" s="343"/>
      <c r="U215" s="367"/>
      <c r="V215" s="367"/>
      <c r="W215" s="376"/>
      <c r="X215" s="348" t="str">
        <f t="shared" si="5"/>
        <v> </v>
      </c>
      <c r="AA215" s="377"/>
      <c r="AB215" s="343"/>
      <c r="AC215" s="343"/>
      <c r="AD215" s="367"/>
      <c r="AE215" s="367"/>
      <c r="AF215" s="376"/>
      <c r="AG215" s="348" t="str">
        <f t="shared" si="6"/>
        <v> </v>
      </c>
    </row>
    <row r="216" ht="15.75" customHeight="1">
      <c r="A216" s="305"/>
      <c r="B216" s="301"/>
      <c r="C216" s="301"/>
      <c r="D216" s="300"/>
      <c r="E216" s="300"/>
      <c r="F216" s="300"/>
      <c r="G216" s="300"/>
      <c r="H216" s="305"/>
      <c r="I216" s="377"/>
      <c r="J216" s="343"/>
      <c r="K216" s="343"/>
      <c r="L216" s="367"/>
      <c r="M216" s="367"/>
      <c r="N216" s="376"/>
      <c r="O216" s="348" t="str">
        <f t="shared" si="4"/>
        <v> </v>
      </c>
      <c r="P216" s="307"/>
      <c r="R216" s="377"/>
      <c r="S216" s="343"/>
      <c r="T216" s="343"/>
      <c r="U216" s="367"/>
      <c r="V216" s="367"/>
      <c r="W216" s="376"/>
      <c r="X216" s="348" t="str">
        <f t="shared" si="5"/>
        <v> </v>
      </c>
      <c r="AA216" s="377"/>
      <c r="AB216" s="343"/>
      <c r="AC216" s="343"/>
      <c r="AD216" s="367"/>
      <c r="AE216" s="367"/>
      <c r="AF216" s="376"/>
      <c r="AG216" s="348" t="str">
        <f t="shared" si="6"/>
        <v> </v>
      </c>
    </row>
    <row r="217" ht="15.75" customHeight="1">
      <c r="A217" s="305"/>
      <c r="B217" s="301"/>
      <c r="C217" s="301"/>
      <c r="D217" s="300"/>
      <c r="E217" s="300"/>
      <c r="F217" s="300"/>
      <c r="G217" s="300"/>
      <c r="H217" s="305"/>
      <c r="I217" s="377"/>
      <c r="J217" s="343"/>
      <c r="K217" s="343"/>
      <c r="L217" s="367"/>
      <c r="M217" s="367"/>
      <c r="N217" s="376"/>
      <c r="O217" s="348" t="str">
        <f t="shared" si="4"/>
        <v> </v>
      </c>
      <c r="P217" s="307"/>
      <c r="R217" s="377"/>
      <c r="S217" s="343"/>
      <c r="T217" s="343"/>
      <c r="U217" s="367"/>
      <c r="V217" s="367"/>
      <c r="W217" s="376"/>
      <c r="X217" s="348" t="str">
        <f t="shared" si="5"/>
        <v> </v>
      </c>
      <c r="AA217" s="377"/>
      <c r="AB217" s="343"/>
      <c r="AC217" s="343"/>
      <c r="AD217" s="367"/>
      <c r="AE217" s="367"/>
      <c r="AF217" s="376"/>
      <c r="AG217" s="348" t="str">
        <f t="shared" si="6"/>
        <v> </v>
      </c>
    </row>
    <row r="218" ht="15.75" customHeight="1">
      <c r="A218" s="305"/>
      <c r="B218" s="301"/>
      <c r="C218" s="301"/>
      <c r="D218" s="300"/>
      <c r="E218" s="300"/>
      <c r="F218" s="300"/>
      <c r="G218" s="300"/>
      <c r="H218" s="305"/>
      <c r="I218" s="377"/>
      <c r="J218" s="343"/>
      <c r="K218" s="343"/>
      <c r="L218" s="367"/>
      <c r="M218" s="367"/>
      <c r="N218" s="376"/>
      <c r="O218" s="348" t="str">
        <f t="shared" si="4"/>
        <v> </v>
      </c>
      <c r="P218" s="307"/>
      <c r="R218" s="377"/>
      <c r="S218" s="343"/>
      <c r="T218" s="343"/>
      <c r="U218" s="367"/>
      <c r="V218" s="367"/>
      <c r="W218" s="376"/>
      <c r="X218" s="348" t="str">
        <f t="shared" si="5"/>
        <v> </v>
      </c>
      <c r="AA218" s="377"/>
      <c r="AB218" s="343"/>
      <c r="AC218" s="343"/>
      <c r="AD218" s="367"/>
      <c r="AE218" s="367"/>
      <c r="AF218" s="376"/>
      <c r="AG218" s="348" t="str">
        <f t="shared" si="6"/>
        <v> </v>
      </c>
    </row>
    <row r="219" ht="15.75" customHeight="1">
      <c r="A219" s="305"/>
      <c r="B219" s="301"/>
      <c r="C219" s="301"/>
      <c r="D219" s="300"/>
      <c r="E219" s="300"/>
      <c r="F219" s="300"/>
      <c r="G219" s="300"/>
      <c r="H219" s="305"/>
      <c r="I219" s="377"/>
      <c r="J219" s="343"/>
      <c r="K219" s="343"/>
      <c r="L219" s="368"/>
      <c r="M219" s="367"/>
      <c r="N219" s="376"/>
      <c r="O219" s="348" t="str">
        <f t="shared" si="4"/>
        <v> </v>
      </c>
      <c r="P219" s="307"/>
      <c r="R219" s="377"/>
      <c r="S219" s="343"/>
      <c r="T219" s="343"/>
      <c r="U219" s="368"/>
      <c r="V219" s="367"/>
      <c r="W219" s="376"/>
      <c r="X219" s="348" t="str">
        <f t="shared" si="5"/>
        <v> </v>
      </c>
      <c r="AA219" s="377"/>
      <c r="AB219" s="343"/>
      <c r="AC219" s="343"/>
      <c r="AD219" s="368"/>
      <c r="AE219" s="367"/>
      <c r="AF219" s="376"/>
      <c r="AG219" s="348" t="str">
        <f t="shared" si="6"/>
        <v> </v>
      </c>
    </row>
    <row r="220" ht="15.75" customHeight="1">
      <c r="A220" s="305"/>
      <c r="B220" s="301"/>
      <c r="C220" s="301"/>
      <c r="D220" s="300"/>
      <c r="E220" s="300"/>
      <c r="F220" s="300"/>
      <c r="G220" s="300"/>
      <c r="H220" s="305"/>
      <c r="I220" s="377"/>
      <c r="J220" s="343"/>
      <c r="K220" s="343"/>
      <c r="L220" s="367"/>
      <c r="M220" s="367"/>
      <c r="N220" s="376"/>
      <c r="O220" s="348" t="str">
        <f t="shared" si="4"/>
        <v> </v>
      </c>
      <c r="P220" s="307"/>
      <c r="R220" s="377"/>
      <c r="S220" s="343"/>
      <c r="T220" s="343"/>
      <c r="U220" s="367"/>
      <c r="V220" s="367"/>
      <c r="W220" s="376"/>
      <c r="X220" s="348" t="str">
        <f t="shared" si="5"/>
        <v> </v>
      </c>
      <c r="AA220" s="377"/>
      <c r="AB220" s="343"/>
      <c r="AC220" s="343"/>
      <c r="AD220" s="367"/>
      <c r="AE220" s="367"/>
      <c r="AF220" s="376"/>
      <c r="AG220" s="348" t="str">
        <f t="shared" si="6"/>
        <v> </v>
      </c>
    </row>
    <row r="221" ht="15.75" customHeight="1">
      <c r="A221" s="305"/>
      <c r="B221" s="301"/>
      <c r="C221" s="301"/>
      <c r="D221" s="300"/>
      <c r="E221" s="300"/>
      <c r="F221" s="300"/>
      <c r="G221" s="300"/>
      <c r="H221" s="305"/>
      <c r="I221" s="377"/>
      <c r="J221" s="343"/>
      <c r="K221" s="343"/>
      <c r="L221" s="368"/>
      <c r="M221" s="367"/>
      <c r="N221" s="376"/>
      <c r="O221" s="348" t="str">
        <f t="shared" si="4"/>
        <v> </v>
      </c>
      <c r="P221" s="307"/>
      <c r="R221" s="377"/>
      <c r="S221" s="343"/>
      <c r="T221" s="343"/>
      <c r="U221" s="368"/>
      <c r="V221" s="367"/>
      <c r="W221" s="376"/>
      <c r="X221" s="348" t="str">
        <f t="shared" si="5"/>
        <v> </v>
      </c>
      <c r="AA221" s="377"/>
      <c r="AB221" s="343"/>
      <c r="AC221" s="343"/>
      <c r="AD221" s="368"/>
      <c r="AE221" s="367"/>
      <c r="AF221" s="376"/>
      <c r="AG221" s="348" t="str">
        <f t="shared" si="6"/>
        <v> </v>
      </c>
    </row>
    <row r="222" ht="15.75" customHeight="1">
      <c r="A222" s="305"/>
      <c r="B222" s="301"/>
      <c r="C222" s="301"/>
      <c r="D222" s="300"/>
      <c r="E222" s="300"/>
      <c r="F222" s="300"/>
      <c r="G222" s="300"/>
      <c r="H222" s="305"/>
      <c r="I222" s="377"/>
      <c r="J222" s="343"/>
      <c r="K222" s="343"/>
      <c r="L222" s="367"/>
      <c r="M222" s="367"/>
      <c r="N222" s="376"/>
      <c r="O222" s="348" t="str">
        <f t="shared" si="4"/>
        <v> </v>
      </c>
      <c r="P222" s="307"/>
      <c r="R222" s="377"/>
      <c r="S222" s="343"/>
      <c r="T222" s="343"/>
      <c r="U222" s="367"/>
      <c r="V222" s="367"/>
      <c r="W222" s="376"/>
      <c r="X222" s="348" t="str">
        <f t="shared" si="5"/>
        <v> </v>
      </c>
      <c r="AA222" s="377"/>
      <c r="AB222" s="343"/>
      <c r="AC222" s="343"/>
      <c r="AD222" s="367"/>
      <c r="AE222" s="367"/>
      <c r="AF222" s="376"/>
      <c r="AG222" s="348" t="str">
        <f t="shared" si="6"/>
        <v> </v>
      </c>
    </row>
    <row r="223" ht="15.75" customHeight="1">
      <c r="A223" s="305"/>
      <c r="B223" s="301"/>
      <c r="C223" s="301"/>
      <c r="D223" s="300"/>
      <c r="E223" s="300"/>
      <c r="F223" s="300"/>
      <c r="G223" s="300"/>
      <c r="H223" s="305"/>
      <c r="I223" s="377"/>
      <c r="J223" s="343"/>
      <c r="K223" s="343"/>
      <c r="L223" s="368"/>
      <c r="M223" s="367"/>
      <c r="N223" s="376"/>
      <c r="O223" s="348" t="str">
        <f t="shared" si="4"/>
        <v> </v>
      </c>
      <c r="P223" s="307"/>
      <c r="R223" s="377"/>
      <c r="S223" s="343"/>
      <c r="T223" s="343"/>
      <c r="U223" s="368"/>
      <c r="V223" s="367"/>
      <c r="W223" s="376"/>
      <c r="X223" s="348" t="str">
        <f t="shared" si="5"/>
        <v> </v>
      </c>
      <c r="AA223" s="377"/>
      <c r="AB223" s="343"/>
      <c r="AC223" s="343"/>
      <c r="AD223" s="368"/>
      <c r="AE223" s="367"/>
      <c r="AF223" s="376"/>
      <c r="AG223" s="348" t="str">
        <f t="shared" si="6"/>
        <v> </v>
      </c>
    </row>
    <row r="224" ht="15.75" customHeight="1">
      <c r="A224" s="305"/>
      <c r="B224" s="301"/>
      <c r="C224" s="301"/>
      <c r="D224" s="300"/>
      <c r="E224" s="300"/>
      <c r="F224" s="300"/>
      <c r="G224" s="300"/>
      <c r="H224" s="305"/>
      <c r="I224" s="377"/>
      <c r="J224" s="343"/>
      <c r="K224" s="343"/>
      <c r="L224" s="367"/>
      <c r="M224" s="367"/>
      <c r="N224" s="376"/>
      <c r="O224" s="348" t="str">
        <f t="shared" si="4"/>
        <v> </v>
      </c>
      <c r="P224" s="307"/>
      <c r="R224" s="377"/>
      <c r="S224" s="343"/>
      <c r="T224" s="343"/>
      <c r="U224" s="367"/>
      <c r="V224" s="367"/>
      <c r="W224" s="376"/>
      <c r="X224" s="348" t="str">
        <f t="shared" si="5"/>
        <v> </v>
      </c>
      <c r="AA224" s="377"/>
      <c r="AB224" s="343"/>
      <c r="AC224" s="343"/>
      <c r="AD224" s="367"/>
      <c r="AE224" s="367"/>
      <c r="AF224" s="376"/>
      <c r="AG224" s="348" t="str">
        <f t="shared" si="6"/>
        <v> </v>
      </c>
    </row>
    <row r="225" ht="15.75" customHeight="1">
      <c r="A225" s="305"/>
      <c r="B225" s="301"/>
      <c r="C225" s="301"/>
      <c r="D225" s="300"/>
      <c r="E225" s="300"/>
      <c r="F225" s="300"/>
      <c r="G225" s="300"/>
      <c r="H225" s="305"/>
      <c r="I225" s="377"/>
      <c r="J225" s="343"/>
      <c r="K225" s="343"/>
      <c r="L225" s="367"/>
      <c r="M225" s="367"/>
      <c r="N225" s="376"/>
      <c r="O225" s="348" t="str">
        <f t="shared" si="4"/>
        <v> </v>
      </c>
      <c r="P225" s="307"/>
      <c r="R225" s="377"/>
      <c r="S225" s="343"/>
      <c r="T225" s="343"/>
      <c r="U225" s="367"/>
      <c r="V225" s="367"/>
      <c r="W225" s="376"/>
      <c r="X225" s="348" t="str">
        <f t="shared" si="5"/>
        <v> </v>
      </c>
      <c r="AA225" s="377"/>
      <c r="AB225" s="343"/>
      <c r="AC225" s="343"/>
      <c r="AD225" s="367"/>
      <c r="AE225" s="367"/>
      <c r="AF225" s="376"/>
      <c r="AG225" s="348" t="str">
        <f t="shared" si="6"/>
        <v> </v>
      </c>
    </row>
    <row r="226" ht="15.75" customHeight="1">
      <c r="A226" s="305"/>
      <c r="B226" s="301"/>
      <c r="C226" s="301"/>
      <c r="D226" s="300"/>
      <c r="E226" s="300"/>
      <c r="F226" s="300"/>
      <c r="G226" s="300"/>
      <c r="H226" s="305"/>
      <c r="I226" s="377"/>
      <c r="J226" s="343"/>
      <c r="K226" s="343"/>
      <c r="L226" s="368"/>
      <c r="M226" s="367"/>
      <c r="N226" s="376"/>
      <c r="O226" s="348" t="str">
        <f t="shared" si="4"/>
        <v> </v>
      </c>
      <c r="P226" s="307"/>
      <c r="R226" s="377"/>
      <c r="S226" s="343"/>
      <c r="T226" s="343"/>
      <c r="U226" s="368"/>
      <c r="V226" s="367"/>
      <c r="W226" s="376"/>
      <c r="X226" s="348" t="str">
        <f t="shared" si="5"/>
        <v> </v>
      </c>
      <c r="AA226" s="377"/>
      <c r="AB226" s="343"/>
      <c r="AC226" s="343"/>
      <c r="AD226" s="368"/>
      <c r="AE226" s="367"/>
      <c r="AF226" s="376"/>
      <c r="AG226" s="348" t="str">
        <f t="shared" si="6"/>
        <v> </v>
      </c>
    </row>
    <row r="227" ht="15.75" customHeight="1">
      <c r="A227" s="305"/>
      <c r="B227" s="301"/>
      <c r="C227" s="301"/>
      <c r="D227" s="300"/>
      <c r="E227" s="300"/>
      <c r="F227" s="300"/>
      <c r="G227" s="300"/>
      <c r="H227" s="305"/>
      <c r="I227" s="377"/>
      <c r="J227" s="343"/>
      <c r="K227" s="343"/>
      <c r="L227" s="367"/>
      <c r="M227" s="367"/>
      <c r="N227" s="376"/>
      <c r="O227" s="348" t="str">
        <f t="shared" si="4"/>
        <v> </v>
      </c>
      <c r="P227" s="307"/>
      <c r="R227" s="377"/>
      <c r="S227" s="343"/>
      <c r="T227" s="343"/>
      <c r="U227" s="367"/>
      <c r="V227" s="367"/>
      <c r="W227" s="376"/>
      <c r="X227" s="348" t="str">
        <f t="shared" si="5"/>
        <v> </v>
      </c>
      <c r="AA227" s="377"/>
      <c r="AB227" s="343"/>
      <c r="AC227" s="343"/>
      <c r="AD227" s="367"/>
      <c r="AE227" s="367"/>
      <c r="AF227" s="376"/>
      <c r="AG227" s="348" t="str">
        <f t="shared" si="6"/>
        <v> </v>
      </c>
    </row>
    <row r="228" ht="15.75" customHeight="1">
      <c r="A228" s="305"/>
      <c r="B228" s="301"/>
      <c r="C228" s="301"/>
      <c r="D228" s="300"/>
      <c r="E228" s="300"/>
      <c r="F228" s="300"/>
      <c r="G228" s="300"/>
      <c r="H228" s="305"/>
      <c r="I228" s="377"/>
      <c r="J228" s="343"/>
      <c r="K228" s="343"/>
      <c r="L228" s="368"/>
      <c r="M228" s="367"/>
      <c r="N228" s="376"/>
      <c r="O228" s="348" t="str">
        <f t="shared" si="4"/>
        <v> </v>
      </c>
      <c r="P228" s="307"/>
      <c r="R228" s="377"/>
      <c r="S228" s="343"/>
      <c r="T228" s="343"/>
      <c r="U228" s="368"/>
      <c r="V228" s="367"/>
      <c r="W228" s="376"/>
      <c r="X228" s="348" t="str">
        <f t="shared" si="5"/>
        <v> </v>
      </c>
      <c r="AA228" s="377"/>
      <c r="AB228" s="343"/>
      <c r="AC228" s="343"/>
      <c r="AD228" s="368"/>
      <c r="AE228" s="367"/>
      <c r="AF228" s="376"/>
      <c r="AG228" s="348" t="str">
        <f t="shared" si="6"/>
        <v> </v>
      </c>
    </row>
    <row r="229" ht="15.75" customHeight="1">
      <c r="A229" s="305"/>
      <c r="B229" s="301"/>
      <c r="C229" s="301"/>
      <c r="D229" s="300"/>
      <c r="E229" s="300"/>
      <c r="F229" s="300"/>
      <c r="G229" s="300"/>
      <c r="H229" s="305"/>
      <c r="I229" s="377"/>
      <c r="J229" s="343"/>
      <c r="K229" s="343"/>
      <c r="L229" s="367"/>
      <c r="M229" s="367"/>
      <c r="N229" s="376"/>
      <c r="O229" s="348" t="str">
        <f t="shared" si="4"/>
        <v> </v>
      </c>
      <c r="P229" s="307"/>
      <c r="R229" s="377"/>
      <c r="S229" s="343"/>
      <c r="T229" s="343"/>
      <c r="U229" s="367"/>
      <c r="V229" s="367"/>
      <c r="W229" s="376"/>
      <c r="X229" s="348" t="str">
        <f t="shared" si="5"/>
        <v> </v>
      </c>
      <c r="AA229" s="377"/>
      <c r="AB229" s="343"/>
      <c r="AC229" s="343"/>
      <c r="AD229" s="367"/>
      <c r="AE229" s="367"/>
      <c r="AF229" s="376"/>
      <c r="AG229" s="348" t="str">
        <f t="shared" si="6"/>
        <v> </v>
      </c>
    </row>
    <row r="230" ht="15.75" customHeight="1">
      <c r="A230" s="305"/>
      <c r="B230" s="301"/>
      <c r="C230" s="301"/>
      <c r="D230" s="300"/>
      <c r="E230" s="300"/>
      <c r="F230" s="300"/>
      <c r="G230" s="300"/>
      <c r="H230" s="305"/>
      <c r="I230" s="377"/>
      <c r="J230" s="343"/>
      <c r="K230" s="343"/>
      <c r="L230" s="367"/>
      <c r="M230" s="367"/>
      <c r="N230" s="376"/>
      <c r="O230" s="348" t="str">
        <f t="shared" si="4"/>
        <v> </v>
      </c>
      <c r="P230" s="307"/>
      <c r="R230" s="377"/>
      <c r="S230" s="343"/>
      <c r="T230" s="343"/>
      <c r="U230" s="367"/>
      <c r="V230" s="367"/>
      <c r="W230" s="376"/>
      <c r="X230" s="348" t="str">
        <f t="shared" si="5"/>
        <v> </v>
      </c>
      <c r="AA230" s="377"/>
      <c r="AB230" s="343"/>
      <c r="AC230" s="343"/>
      <c r="AD230" s="367"/>
      <c r="AE230" s="367"/>
      <c r="AF230" s="376"/>
      <c r="AG230" s="348" t="str">
        <f t="shared" si="6"/>
        <v> </v>
      </c>
    </row>
    <row r="231" ht="15.75" customHeight="1">
      <c r="A231" s="305"/>
      <c r="B231" s="301"/>
      <c r="C231" s="301"/>
      <c r="D231" s="300"/>
      <c r="E231" s="300"/>
      <c r="F231" s="300"/>
      <c r="G231" s="300"/>
      <c r="H231" s="305"/>
      <c r="I231" s="377"/>
      <c r="J231" s="343"/>
      <c r="K231" s="343"/>
      <c r="L231" s="367"/>
      <c r="M231" s="367"/>
      <c r="N231" s="376"/>
      <c r="O231" s="348" t="str">
        <f t="shared" si="4"/>
        <v> </v>
      </c>
      <c r="P231" s="307"/>
      <c r="R231" s="377"/>
      <c r="S231" s="343"/>
      <c r="T231" s="343"/>
      <c r="U231" s="367"/>
      <c r="V231" s="367"/>
      <c r="W231" s="376"/>
      <c r="X231" s="348" t="str">
        <f t="shared" si="5"/>
        <v> </v>
      </c>
      <c r="AA231" s="377"/>
      <c r="AB231" s="343"/>
      <c r="AC231" s="343"/>
      <c r="AD231" s="367"/>
      <c r="AE231" s="367"/>
      <c r="AF231" s="376"/>
      <c r="AG231" s="348" t="str">
        <f t="shared" si="6"/>
        <v> </v>
      </c>
    </row>
    <row r="232" ht="15.75" customHeight="1">
      <c r="A232" s="305"/>
      <c r="B232" s="301"/>
      <c r="C232" s="301"/>
      <c r="D232" s="300"/>
      <c r="E232" s="300"/>
      <c r="F232" s="300"/>
      <c r="G232" s="300"/>
      <c r="H232" s="305"/>
      <c r="I232" s="377"/>
      <c r="J232" s="343"/>
      <c r="K232" s="343"/>
      <c r="L232" s="368"/>
      <c r="M232" s="367"/>
      <c r="N232" s="378"/>
      <c r="O232" s="348" t="str">
        <f t="shared" si="4"/>
        <v> </v>
      </c>
      <c r="P232" s="307"/>
      <c r="R232" s="377"/>
      <c r="S232" s="343"/>
      <c r="T232" s="343"/>
      <c r="U232" s="368"/>
      <c r="V232" s="367"/>
      <c r="W232" s="378"/>
      <c r="X232" s="348" t="str">
        <f t="shared" si="5"/>
        <v> </v>
      </c>
      <c r="AA232" s="377"/>
      <c r="AB232" s="343"/>
      <c r="AC232" s="343"/>
      <c r="AD232" s="368"/>
      <c r="AE232" s="367"/>
      <c r="AF232" s="378"/>
      <c r="AG232" s="348" t="str">
        <f t="shared" si="6"/>
        <v> </v>
      </c>
    </row>
    <row r="233" ht="15.75" customHeight="1">
      <c r="A233" s="305"/>
      <c r="B233" s="301"/>
      <c r="C233" s="301"/>
      <c r="D233" s="300"/>
      <c r="E233" s="300"/>
      <c r="F233" s="300"/>
      <c r="G233" s="300"/>
      <c r="H233" s="305"/>
      <c r="I233" s="377"/>
      <c r="J233" s="343"/>
      <c r="K233" s="343"/>
      <c r="L233" s="367"/>
      <c r="M233" s="368"/>
      <c r="N233" s="378"/>
      <c r="O233" s="348" t="str">
        <f t="shared" si="4"/>
        <v> </v>
      </c>
      <c r="P233" s="307"/>
      <c r="R233" s="377"/>
      <c r="S233" s="343"/>
      <c r="T233" s="343"/>
      <c r="U233" s="367"/>
      <c r="V233" s="368"/>
      <c r="W233" s="378"/>
      <c r="X233" s="348" t="str">
        <f t="shared" si="5"/>
        <v> </v>
      </c>
      <c r="AA233" s="377"/>
      <c r="AB233" s="343"/>
      <c r="AC233" s="343"/>
      <c r="AD233" s="367"/>
      <c r="AE233" s="368"/>
      <c r="AF233" s="378"/>
      <c r="AG233" s="348" t="str">
        <f t="shared" si="6"/>
        <v> </v>
      </c>
    </row>
    <row r="234" ht="15.75" customHeight="1">
      <c r="A234" s="305"/>
      <c r="B234" s="301"/>
      <c r="C234" s="301"/>
      <c r="D234" s="300"/>
      <c r="E234" s="300"/>
      <c r="F234" s="300"/>
      <c r="G234" s="300"/>
      <c r="H234" s="305"/>
      <c r="I234" s="377"/>
      <c r="J234" s="343"/>
      <c r="K234" s="343"/>
      <c r="L234" s="368"/>
      <c r="M234" s="367"/>
      <c r="N234" s="378"/>
      <c r="O234" s="348" t="str">
        <f t="shared" si="4"/>
        <v> </v>
      </c>
      <c r="P234" s="307"/>
      <c r="R234" s="377"/>
      <c r="S234" s="343"/>
      <c r="T234" s="343"/>
      <c r="U234" s="368"/>
      <c r="V234" s="367"/>
      <c r="W234" s="378"/>
      <c r="X234" s="348" t="str">
        <f t="shared" si="5"/>
        <v> </v>
      </c>
      <c r="AA234" s="377"/>
      <c r="AB234" s="343"/>
      <c r="AC234" s="343"/>
      <c r="AD234" s="368"/>
      <c r="AE234" s="367"/>
      <c r="AF234" s="378"/>
      <c r="AG234" s="348" t="str">
        <f t="shared" si="6"/>
        <v> </v>
      </c>
    </row>
    <row r="235" ht="15.75" customHeight="1">
      <c r="A235" s="305"/>
      <c r="B235" s="301"/>
      <c r="C235" s="301"/>
      <c r="D235" s="300"/>
      <c r="E235" s="300"/>
      <c r="F235" s="300"/>
      <c r="G235" s="300"/>
      <c r="H235" s="305"/>
      <c r="I235" s="377"/>
      <c r="J235" s="343"/>
      <c r="K235" s="343"/>
      <c r="L235" s="368"/>
      <c r="M235" s="367"/>
      <c r="N235" s="378"/>
      <c r="O235" s="348" t="str">
        <f t="shared" si="4"/>
        <v> </v>
      </c>
      <c r="P235" s="307"/>
      <c r="R235" s="377"/>
      <c r="S235" s="343"/>
      <c r="T235" s="343"/>
      <c r="U235" s="368"/>
      <c r="V235" s="367"/>
      <c r="W235" s="378"/>
      <c r="X235" s="348" t="str">
        <f t="shared" si="5"/>
        <v> </v>
      </c>
      <c r="AA235" s="377"/>
      <c r="AB235" s="343"/>
      <c r="AC235" s="343"/>
      <c r="AD235" s="368"/>
      <c r="AE235" s="367"/>
      <c r="AF235" s="378"/>
      <c r="AG235" s="348" t="str">
        <f t="shared" si="6"/>
        <v> </v>
      </c>
    </row>
    <row r="236" ht="15.75" customHeight="1">
      <c r="A236" s="305"/>
      <c r="B236" s="301"/>
      <c r="C236" s="301"/>
      <c r="D236" s="300"/>
      <c r="E236" s="300"/>
      <c r="F236" s="300"/>
      <c r="G236" s="300"/>
      <c r="H236" s="305"/>
      <c r="I236" s="377"/>
      <c r="J236" s="343"/>
      <c r="K236" s="343"/>
      <c r="L236" s="367"/>
      <c r="M236" s="368"/>
      <c r="N236" s="378"/>
      <c r="O236" s="348" t="str">
        <f t="shared" si="4"/>
        <v> </v>
      </c>
      <c r="P236" s="307"/>
      <c r="R236" s="377"/>
      <c r="S236" s="343"/>
      <c r="T236" s="343"/>
      <c r="U236" s="367"/>
      <c r="V236" s="368"/>
      <c r="W236" s="378"/>
      <c r="X236" s="348" t="str">
        <f t="shared" si="5"/>
        <v> </v>
      </c>
      <c r="AA236" s="377"/>
      <c r="AB236" s="343"/>
      <c r="AC236" s="343"/>
      <c r="AD236" s="367"/>
      <c r="AE236" s="368"/>
      <c r="AF236" s="378"/>
      <c r="AG236" s="348" t="str">
        <f t="shared" si="6"/>
        <v> </v>
      </c>
    </row>
    <row r="237" ht="15.75" customHeight="1">
      <c r="A237" s="305"/>
      <c r="B237" s="301"/>
      <c r="C237" s="301"/>
      <c r="D237" s="300"/>
      <c r="E237" s="300"/>
      <c r="F237" s="300"/>
      <c r="G237" s="300"/>
      <c r="H237" s="305"/>
      <c r="I237" s="377"/>
      <c r="J237" s="343"/>
      <c r="K237" s="343"/>
      <c r="L237" s="367"/>
      <c r="M237" s="368"/>
      <c r="N237" s="378"/>
      <c r="O237" s="348" t="str">
        <f t="shared" si="4"/>
        <v> </v>
      </c>
      <c r="P237" s="307"/>
      <c r="R237" s="377"/>
      <c r="S237" s="343"/>
      <c r="T237" s="343"/>
      <c r="U237" s="367"/>
      <c r="V237" s="368"/>
      <c r="W237" s="378"/>
      <c r="X237" s="348" t="str">
        <f t="shared" si="5"/>
        <v> </v>
      </c>
      <c r="AA237" s="377"/>
      <c r="AB237" s="343"/>
      <c r="AC237" s="343"/>
      <c r="AD237" s="367"/>
      <c r="AE237" s="368"/>
      <c r="AF237" s="378"/>
      <c r="AG237" s="348" t="str">
        <f t="shared" si="6"/>
        <v> </v>
      </c>
    </row>
    <row r="238" ht="15.75" customHeight="1">
      <c r="A238" s="305"/>
      <c r="B238" s="301"/>
      <c r="C238" s="301"/>
      <c r="D238" s="300"/>
      <c r="E238" s="300"/>
      <c r="F238" s="300"/>
      <c r="G238" s="300"/>
      <c r="H238" s="305"/>
      <c r="I238" s="377"/>
      <c r="J238" s="343"/>
      <c r="K238" s="343"/>
      <c r="L238" s="368"/>
      <c r="M238" s="367"/>
      <c r="N238" s="378"/>
      <c r="O238" s="348" t="str">
        <f t="shared" si="4"/>
        <v> </v>
      </c>
      <c r="P238" s="307"/>
      <c r="R238" s="377"/>
      <c r="S238" s="343"/>
      <c r="T238" s="343"/>
      <c r="U238" s="368"/>
      <c r="V238" s="367"/>
      <c r="W238" s="378"/>
      <c r="X238" s="348" t="str">
        <f t="shared" si="5"/>
        <v> </v>
      </c>
      <c r="AA238" s="377"/>
      <c r="AB238" s="343"/>
      <c r="AC238" s="343"/>
      <c r="AD238" s="368"/>
      <c r="AE238" s="367"/>
      <c r="AF238" s="378"/>
      <c r="AG238" s="348" t="str">
        <f t="shared" si="6"/>
        <v> </v>
      </c>
    </row>
    <row r="239" ht="15.75" customHeight="1">
      <c r="A239" s="305"/>
      <c r="B239" s="301"/>
      <c r="C239" s="301"/>
      <c r="D239" s="300"/>
      <c r="E239" s="300"/>
      <c r="F239" s="300"/>
      <c r="G239" s="300"/>
      <c r="H239" s="305"/>
      <c r="I239" s="377"/>
      <c r="J239" s="343"/>
      <c r="K239" s="343"/>
      <c r="L239" s="367"/>
      <c r="M239" s="367"/>
      <c r="N239" s="378"/>
      <c r="O239" s="348" t="str">
        <f t="shared" si="4"/>
        <v> </v>
      </c>
      <c r="P239" s="307"/>
      <c r="R239" s="377"/>
      <c r="S239" s="343"/>
      <c r="T239" s="343"/>
      <c r="U239" s="367"/>
      <c r="V239" s="367"/>
      <c r="W239" s="378"/>
      <c r="X239" s="348" t="str">
        <f t="shared" si="5"/>
        <v> </v>
      </c>
      <c r="AA239" s="377"/>
      <c r="AB239" s="343"/>
      <c r="AC239" s="343"/>
      <c r="AD239" s="367"/>
      <c r="AE239" s="367"/>
      <c r="AF239" s="378"/>
      <c r="AG239" s="348" t="str">
        <f t="shared" si="6"/>
        <v> </v>
      </c>
    </row>
    <row r="240" ht="15.75" customHeight="1">
      <c r="A240" s="305"/>
      <c r="B240" s="301"/>
      <c r="C240" s="301"/>
      <c r="D240" s="300"/>
      <c r="E240" s="300"/>
      <c r="F240" s="300"/>
      <c r="G240" s="300"/>
      <c r="H240" s="305"/>
      <c r="I240" s="377"/>
      <c r="J240" s="343"/>
      <c r="K240" s="343"/>
      <c r="L240" s="368"/>
      <c r="M240" s="367"/>
      <c r="N240" s="378"/>
      <c r="O240" s="348" t="str">
        <f t="shared" si="4"/>
        <v> </v>
      </c>
      <c r="P240" s="307"/>
      <c r="R240" s="377"/>
      <c r="S240" s="343"/>
      <c r="T240" s="343"/>
      <c r="U240" s="368"/>
      <c r="V240" s="367"/>
      <c r="W240" s="378"/>
      <c r="X240" s="348" t="str">
        <f t="shared" si="5"/>
        <v> </v>
      </c>
      <c r="AA240" s="377"/>
      <c r="AB240" s="343"/>
      <c r="AC240" s="343"/>
      <c r="AD240" s="368"/>
      <c r="AE240" s="367"/>
      <c r="AF240" s="378"/>
      <c r="AG240" s="348" t="str">
        <f t="shared" si="6"/>
        <v> </v>
      </c>
    </row>
    <row r="241" ht="15.75" customHeight="1">
      <c r="A241" s="305"/>
      <c r="B241" s="301"/>
      <c r="C241" s="301"/>
      <c r="D241" s="300"/>
      <c r="E241" s="300"/>
      <c r="F241" s="300"/>
      <c r="G241" s="300"/>
      <c r="H241" s="305"/>
      <c r="I241" s="379"/>
      <c r="J241" s="343"/>
      <c r="K241" s="380"/>
      <c r="L241" s="381"/>
      <c r="M241" s="372"/>
      <c r="N241" s="370"/>
      <c r="O241" s="348" t="str">
        <f t="shared" si="4"/>
        <v> </v>
      </c>
      <c r="P241" s="307"/>
      <c r="R241" s="379"/>
      <c r="S241" s="343"/>
      <c r="T241" s="380"/>
      <c r="U241" s="381"/>
      <c r="V241" s="372"/>
      <c r="W241" s="370"/>
      <c r="X241" s="348" t="str">
        <f t="shared" si="5"/>
        <v> </v>
      </c>
      <c r="AA241" s="379"/>
      <c r="AB241" s="343"/>
      <c r="AC241" s="380"/>
      <c r="AD241" s="381"/>
      <c r="AE241" s="372"/>
      <c r="AF241" s="370"/>
      <c r="AG241" s="348" t="str">
        <f t="shared" si="6"/>
        <v> </v>
      </c>
    </row>
    <row r="242" ht="15.75" customHeight="1">
      <c r="A242" s="305"/>
      <c r="B242" s="301"/>
      <c r="C242" s="301"/>
      <c r="D242" s="300"/>
      <c r="E242" s="300"/>
      <c r="F242" s="300"/>
      <c r="G242" s="300"/>
      <c r="H242" s="305"/>
      <c r="I242" s="382"/>
      <c r="J242" s="343"/>
      <c r="K242" s="383"/>
      <c r="L242" s="384"/>
      <c r="M242" s="385"/>
      <c r="N242" s="378"/>
      <c r="O242" s="348" t="str">
        <f t="shared" si="4"/>
        <v> </v>
      </c>
      <c r="P242" s="307"/>
      <c r="R242" s="382"/>
      <c r="S242" s="343"/>
      <c r="T242" s="383"/>
      <c r="U242" s="384"/>
      <c r="V242" s="385"/>
      <c r="W242" s="378"/>
      <c r="X242" s="348" t="str">
        <f t="shared" si="5"/>
        <v> </v>
      </c>
      <c r="AA242" s="382"/>
      <c r="AB242" s="343"/>
      <c r="AC242" s="383"/>
      <c r="AD242" s="384"/>
      <c r="AE242" s="385"/>
      <c r="AF242" s="378"/>
      <c r="AG242" s="348" t="str">
        <f t="shared" si="6"/>
        <v> </v>
      </c>
    </row>
    <row r="243" ht="15.75" customHeight="1">
      <c r="A243" s="305"/>
      <c r="B243" s="301"/>
      <c r="C243" s="301"/>
      <c r="D243" s="300"/>
      <c r="E243" s="300"/>
      <c r="F243" s="300"/>
      <c r="G243" s="300"/>
      <c r="H243" s="305"/>
      <c r="I243" s="382"/>
      <c r="J243" s="343"/>
      <c r="K243" s="383"/>
      <c r="L243" s="384"/>
      <c r="M243" s="385"/>
      <c r="N243" s="378"/>
      <c r="O243" s="348" t="str">
        <f t="shared" si="4"/>
        <v> </v>
      </c>
      <c r="P243" s="307"/>
      <c r="R243" s="382"/>
      <c r="S243" s="343"/>
      <c r="T243" s="383"/>
      <c r="U243" s="384"/>
      <c r="V243" s="385"/>
      <c r="W243" s="378"/>
      <c r="X243" s="348" t="str">
        <f t="shared" si="5"/>
        <v> </v>
      </c>
      <c r="AA243" s="382"/>
      <c r="AB243" s="343"/>
      <c r="AC243" s="383"/>
      <c r="AD243" s="384"/>
      <c r="AE243" s="385"/>
      <c r="AF243" s="378"/>
      <c r="AG243" s="348" t="str">
        <f t="shared" si="6"/>
        <v> </v>
      </c>
    </row>
    <row r="244" ht="15.75" customHeight="1">
      <c r="A244" s="305"/>
      <c r="B244" s="301"/>
      <c r="C244" s="301"/>
      <c r="D244" s="300"/>
      <c r="E244" s="300"/>
      <c r="F244" s="300"/>
      <c r="G244" s="300"/>
      <c r="H244" s="305"/>
      <c r="I244" s="382"/>
      <c r="J244" s="343"/>
      <c r="K244" s="383"/>
      <c r="L244" s="384"/>
      <c r="M244" s="386"/>
      <c r="N244" s="378"/>
      <c r="O244" s="348" t="str">
        <f t="shared" si="4"/>
        <v> </v>
      </c>
      <c r="P244" s="307"/>
      <c r="R244" s="382"/>
      <c r="S244" s="343"/>
      <c r="T244" s="383"/>
      <c r="U244" s="384"/>
      <c r="V244" s="386"/>
      <c r="W244" s="378"/>
      <c r="X244" s="348" t="str">
        <f t="shared" si="5"/>
        <v> </v>
      </c>
      <c r="AA244" s="382"/>
      <c r="AB244" s="343"/>
      <c r="AC244" s="383"/>
      <c r="AD244" s="384"/>
      <c r="AE244" s="386"/>
      <c r="AF244" s="378"/>
      <c r="AG244" s="348" t="str">
        <f t="shared" si="6"/>
        <v> </v>
      </c>
    </row>
    <row r="245" ht="15.75" customHeight="1">
      <c r="A245" s="305"/>
      <c r="B245" s="301"/>
      <c r="C245" s="301"/>
      <c r="D245" s="300"/>
      <c r="E245" s="300"/>
      <c r="F245" s="300"/>
      <c r="G245" s="300"/>
      <c r="H245" s="305"/>
      <c r="I245" s="382"/>
      <c r="J245" s="343"/>
      <c r="K245" s="383"/>
      <c r="L245" s="384"/>
      <c r="M245" s="385"/>
      <c r="N245" s="378"/>
      <c r="O245" s="348" t="str">
        <f t="shared" si="4"/>
        <v> </v>
      </c>
      <c r="P245" s="307"/>
      <c r="R245" s="382"/>
      <c r="S245" s="343"/>
      <c r="T245" s="383"/>
      <c r="U245" s="384"/>
      <c r="V245" s="385"/>
      <c r="W245" s="378"/>
      <c r="X245" s="348" t="str">
        <f t="shared" si="5"/>
        <v> </v>
      </c>
      <c r="AA245" s="382"/>
      <c r="AB245" s="343"/>
      <c r="AC245" s="383"/>
      <c r="AD245" s="384"/>
      <c r="AE245" s="385"/>
      <c r="AF245" s="378"/>
      <c r="AG245" s="348" t="str">
        <f t="shared" si="6"/>
        <v> </v>
      </c>
    </row>
    <row r="246" ht="15.75" customHeight="1">
      <c r="A246" s="305"/>
      <c r="B246" s="301"/>
      <c r="C246" s="301"/>
      <c r="D246" s="300"/>
      <c r="E246" s="300"/>
      <c r="F246" s="300"/>
      <c r="G246" s="300"/>
      <c r="H246" s="305"/>
      <c r="I246" s="379"/>
      <c r="J246" s="343"/>
      <c r="K246" s="380"/>
      <c r="L246" s="381"/>
      <c r="M246" s="372"/>
      <c r="N246" s="370"/>
      <c r="O246" s="348" t="str">
        <f t="shared" si="4"/>
        <v> </v>
      </c>
      <c r="P246" s="307"/>
      <c r="R246" s="379"/>
      <c r="S246" s="343"/>
      <c r="T246" s="380"/>
      <c r="U246" s="381"/>
      <c r="V246" s="372"/>
      <c r="W246" s="370"/>
      <c r="X246" s="348" t="str">
        <f t="shared" si="5"/>
        <v> </v>
      </c>
      <c r="AA246" s="379"/>
      <c r="AB246" s="343"/>
      <c r="AC246" s="380"/>
      <c r="AD246" s="381"/>
      <c r="AE246" s="372"/>
      <c r="AF246" s="370"/>
      <c r="AG246" s="348" t="str">
        <f t="shared" si="6"/>
        <v> </v>
      </c>
    </row>
    <row r="247" ht="15.75" customHeight="1">
      <c r="A247" s="305"/>
      <c r="B247" s="301"/>
      <c r="C247" s="301"/>
      <c r="D247" s="300"/>
      <c r="E247" s="300"/>
      <c r="F247" s="300"/>
      <c r="G247" s="300"/>
      <c r="H247" s="305"/>
      <c r="I247" s="379"/>
      <c r="J247" s="343"/>
      <c r="K247" s="343"/>
      <c r="L247" s="368"/>
      <c r="M247" s="367"/>
      <c r="N247" s="378"/>
      <c r="O247" s="348" t="str">
        <f t="shared" si="4"/>
        <v> </v>
      </c>
      <c r="P247" s="307"/>
      <c r="R247" s="379"/>
      <c r="S247" s="343"/>
      <c r="T247" s="343"/>
      <c r="U247" s="368"/>
      <c r="V247" s="367"/>
      <c r="W247" s="378"/>
      <c r="X247" s="348" t="str">
        <f t="shared" si="5"/>
        <v> </v>
      </c>
      <c r="AA247" s="379"/>
      <c r="AB247" s="343"/>
      <c r="AC247" s="343"/>
      <c r="AD247" s="368"/>
      <c r="AE247" s="367"/>
      <c r="AF247" s="378"/>
      <c r="AG247" s="348" t="str">
        <f t="shared" si="6"/>
        <v> </v>
      </c>
    </row>
    <row r="248" ht="15.75" customHeight="1">
      <c r="A248" s="305"/>
      <c r="B248" s="301"/>
      <c r="C248" s="301"/>
      <c r="D248" s="300"/>
      <c r="E248" s="300"/>
      <c r="F248" s="300"/>
      <c r="G248" s="300"/>
      <c r="H248" s="305"/>
      <c r="I248" s="382"/>
      <c r="J248" s="343"/>
      <c r="K248" s="343"/>
      <c r="L248" s="368"/>
      <c r="M248" s="367"/>
      <c r="N248" s="378"/>
      <c r="O248" s="348" t="str">
        <f t="shared" si="4"/>
        <v> </v>
      </c>
      <c r="P248" s="307"/>
      <c r="R248" s="382"/>
      <c r="S248" s="343"/>
      <c r="T248" s="343"/>
      <c r="U248" s="368"/>
      <c r="V248" s="367"/>
      <c r="W248" s="378"/>
      <c r="X248" s="348" t="str">
        <f t="shared" si="5"/>
        <v> </v>
      </c>
      <c r="AA248" s="382"/>
      <c r="AB248" s="343"/>
      <c r="AC248" s="343"/>
      <c r="AD248" s="368"/>
      <c r="AE248" s="367"/>
      <c r="AF248" s="378"/>
      <c r="AG248" s="348" t="str">
        <f t="shared" si="6"/>
        <v> </v>
      </c>
    </row>
    <row r="249" ht="15.75" customHeight="1">
      <c r="A249" s="305"/>
      <c r="B249" s="301"/>
      <c r="C249" s="301"/>
      <c r="D249" s="300"/>
      <c r="E249" s="300"/>
      <c r="F249" s="300"/>
      <c r="G249" s="300"/>
      <c r="H249" s="305"/>
      <c r="I249" s="377"/>
      <c r="J249" s="343"/>
      <c r="K249" s="343"/>
      <c r="L249" s="368"/>
      <c r="M249" s="367"/>
      <c r="N249" s="378"/>
      <c r="O249" s="348" t="str">
        <f t="shared" si="4"/>
        <v> </v>
      </c>
      <c r="P249" s="307"/>
      <c r="R249" s="377"/>
      <c r="S249" s="343"/>
      <c r="T249" s="343"/>
      <c r="U249" s="368"/>
      <c r="V249" s="367"/>
      <c r="W249" s="378"/>
      <c r="X249" s="348" t="str">
        <f t="shared" si="5"/>
        <v> </v>
      </c>
      <c r="AA249" s="377"/>
      <c r="AB249" s="343"/>
      <c r="AC249" s="343"/>
      <c r="AD249" s="368"/>
      <c r="AE249" s="367"/>
      <c r="AF249" s="378"/>
      <c r="AG249" s="348" t="str">
        <f t="shared" si="6"/>
        <v> </v>
      </c>
    </row>
    <row r="250" ht="15.75" customHeight="1">
      <c r="A250" s="305"/>
      <c r="B250" s="301"/>
      <c r="C250" s="301"/>
      <c r="D250" s="300"/>
      <c r="E250" s="300"/>
      <c r="F250" s="300"/>
      <c r="G250" s="300"/>
      <c r="H250" s="305"/>
      <c r="I250" s="382"/>
      <c r="J250" s="343"/>
      <c r="K250" s="383"/>
      <c r="L250" s="384"/>
      <c r="M250" s="385"/>
      <c r="N250" s="378"/>
      <c r="O250" s="348" t="str">
        <f t="shared" si="4"/>
        <v> </v>
      </c>
      <c r="P250" s="307"/>
      <c r="R250" s="382"/>
      <c r="S250" s="343"/>
      <c r="T250" s="383"/>
      <c r="U250" s="384"/>
      <c r="V250" s="385"/>
      <c r="W250" s="378"/>
      <c r="X250" s="348" t="str">
        <f t="shared" si="5"/>
        <v> </v>
      </c>
      <c r="AA250" s="382"/>
      <c r="AB250" s="343"/>
      <c r="AC250" s="383"/>
      <c r="AD250" s="384"/>
      <c r="AE250" s="385"/>
      <c r="AF250" s="378"/>
      <c r="AG250" s="348" t="str">
        <f t="shared" si="6"/>
        <v> </v>
      </c>
    </row>
    <row r="251" ht="15.75" customHeight="1">
      <c r="A251" s="305"/>
      <c r="B251" s="301"/>
      <c r="C251" s="301"/>
      <c r="D251" s="300"/>
      <c r="E251" s="300"/>
      <c r="F251" s="300"/>
      <c r="G251" s="300"/>
      <c r="H251" s="305"/>
      <c r="I251" s="382"/>
      <c r="J251" s="343"/>
      <c r="K251" s="343"/>
      <c r="L251" s="367"/>
      <c r="M251" s="368"/>
      <c r="N251" s="378"/>
      <c r="O251" s="348" t="str">
        <f t="shared" si="4"/>
        <v> </v>
      </c>
      <c r="P251" s="307"/>
      <c r="R251" s="382"/>
      <c r="S251" s="343"/>
      <c r="T251" s="343"/>
      <c r="U251" s="367"/>
      <c r="V251" s="368"/>
      <c r="W251" s="378"/>
      <c r="X251" s="348" t="str">
        <f t="shared" si="5"/>
        <v> </v>
      </c>
      <c r="AA251" s="382"/>
      <c r="AB251" s="343"/>
      <c r="AC251" s="343"/>
      <c r="AD251" s="367"/>
      <c r="AE251" s="368"/>
      <c r="AF251" s="378"/>
      <c r="AG251" s="348" t="str">
        <f t="shared" si="6"/>
        <v> </v>
      </c>
    </row>
    <row r="252" ht="15.75" customHeight="1">
      <c r="A252" s="305"/>
      <c r="B252" s="301"/>
      <c r="C252" s="301"/>
      <c r="D252" s="300"/>
      <c r="E252" s="300"/>
      <c r="F252" s="300"/>
      <c r="G252" s="300"/>
      <c r="H252" s="305"/>
      <c r="I252" s="382"/>
      <c r="J252" s="343"/>
      <c r="K252" s="343"/>
      <c r="L252" s="368"/>
      <c r="M252" s="367"/>
      <c r="N252" s="378"/>
      <c r="O252" s="348" t="str">
        <f t="shared" si="4"/>
        <v> </v>
      </c>
      <c r="P252" s="307"/>
      <c r="R252" s="382"/>
      <c r="S252" s="343"/>
      <c r="T252" s="343"/>
      <c r="U252" s="368"/>
      <c r="V252" s="367"/>
      <c r="W252" s="378"/>
      <c r="X252" s="348" t="str">
        <f t="shared" si="5"/>
        <v> </v>
      </c>
      <c r="AA252" s="382"/>
      <c r="AB252" s="343"/>
      <c r="AC252" s="343"/>
      <c r="AD252" s="368"/>
      <c r="AE252" s="367"/>
      <c r="AF252" s="378"/>
      <c r="AG252" s="348" t="str">
        <f t="shared" si="6"/>
        <v> </v>
      </c>
    </row>
    <row r="253" ht="15.75" customHeight="1">
      <c r="A253" s="305"/>
      <c r="B253" s="301"/>
      <c r="C253" s="301"/>
      <c r="D253" s="300"/>
      <c r="E253" s="300"/>
      <c r="F253" s="300"/>
      <c r="G253" s="300"/>
      <c r="H253" s="305"/>
      <c r="I253" s="387"/>
      <c r="J253" s="343"/>
      <c r="K253" s="343"/>
      <c r="L253" s="368"/>
      <c r="M253" s="367"/>
      <c r="N253" s="378"/>
      <c r="O253" s="348" t="str">
        <f t="shared" si="4"/>
        <v> </v>
      </c>
      <c r="P253" s="307"/>
      <c r="R253" s="387"/>
      <c r="S253" s="343"/>
      <c r="T253" s="343"/>
      <c r="U253" s="368"/>
      <c r="V253" s="367"/>
      <c r="W253" s="378"/>
      <c r="X253" s="348" t="str">
        <f t="shared" si="5"/>
        <v> </v>
      </c>
      <c r="AA253" s="387"/>
      <c r="AB253" s="343"/>
      <c r="AC253" s="343"/>
      <c r="AD253" s="368"/>
      <c r="AE253" s="367"/>
      <c r="AF253" s="378"/>
      <c r="AG253" s="348" t="str">
        <f t="shared" si="6"/>
        <v> </v>
      </c>
    </row>
    <row r="254" ht="15.75" customHeight="1">
      <c r="A254" s="305"/>
      <c r="B254" s="301"/>
      <c r="C254" s="301"/>
      <c r="D254" s="300"/>
      <c r="E254" s="300"/>
      <c r="F254" s="300"/>
      <c r="G254" s="300"/>
      <c r="H254" s="305"/>
      <c r="I254" s="387"/>
      <c r="J254" s="343"/>
      <c r="K254" s="343"/>
      <c r="L254" s="368"/>
      <c r="M254" s="367"/>
      <c r="N254" s="378"/>
      <c r="O254" s="348" t="str">
        <f t="shared" si="4"/>
        <v> </v>
      </c>
      <c r="P254" s="307"/>
      <c r="R254" s="387"/>
      <c r="S254" s="343"/>
      <c r="T254" s="343"/>
      <c r="U254" s="368"/>
      <c r="V254" s="367"/>
      <c r="W254" s="378"/>
      <c r="X254" s="348" t="str">
        <f t="shared" si="5"/>
        <v> </v>
      </c>
      <c r="AA254" s="387"/>
      <c r="AB254" s="343"/>
      <c r="AC254" s="343"/>
      <c r="AD254" s="368"/>
      <c r="AE254" s="367"/>
      <c r="AF254" s="378"/>
      <c r="AG254" s="348" t="str">
        <f t="shared" si="6"/>
        <v> </v>
      </c>
    </row>
    <row r="255" ht="15.75" customHeight="1">
      <c r="A255" s="305"/>
      <c r="B255" s="301"/>
      <c r="C255" s="301"/>
      <c r="D255" s="300"/>
      <c r="E255" s="300"/>
      <c r="F255" s="300"/>
      <c r="G255" s="300"/>
      <c r="H255" s="305"/>
      <c r="I255" s="387"/>
      <c r="J255" s="343"/>
      <c r="K255" s="383"/>
      <c r="L255" s="384"/>
      <c r="M255" s="385"/>
      <c r="N255" s="378"/>
      <c r="O255" s="348" t="str">
        <f t="shared" si="4"/>
        <v> </v>
      </c>
      <c r="P255" s="307"/>
      <c r="R255" s="387"/>
      <c r="S255" s="343"/>
      <c r="T255" s="383"/>
      <c r="U255" s="384"/>
      <c r="V255" s="385"/>
      <c r="W255" s="378"/>
      <c r="X255" s="348" t="str">
        <f t="shared" si="5"/>
        <v> </v>
      </c>
      <c r="AA255" s="387"/>
      <c r="AB255" s="343"/>
      <c r="AC255" s="383"/>
      <c r="AD255" s="384"/>
      <c r="AE255" s="385"/>
      <c r="AF255" s="378"/>
      <c r="AG255" s="348" t="str">
        <f t="shared" si="6"/>
        <v> </v>
      </c>
    </row>
    <row r="256" ht="15.75" customHeight="1">
      <c r="A256" s="305"/>
      <c r="B256" s="301"/>
      <c r="C256" s="301"/>
      <c r="D256" s="300"/>
      <c r="E256" s="300"/>
      <c r="F256" s="300"/>
      <c r="G256" s="300"/>
      <c r="H256" s="305"/>
      <c r="I256" s="387"/>
      <c r="J256" s="343"/>
      <c r="K256" s="343"/>
      <c r="L256" s="368"/>
      <c r="M256" s="367"/>
      <c r="N256" s="378"/>
      <c r="O256" s="348" t="str">
        <f t="shared" si="4"/>
        <v> </v>
      </c>
      <c r="P256" s="307"/>
      <c r="R256" s="387"/>
      <c r="S256" s="343"/>
      <c r="T256" s="343"/>
      <c r="U256" s="368"/>
      <c r="V256" s="367"/>
      <c r="W256" s="378"/>
      <c r="X256" s="348" t="str">
        <f t="shared" si="5"/>
        <v> </v>
      </c>
      <c r="AA256" s="387"/>
      <c r="AB256" s="343"/>
      <c r="AC256" s="343"/>
      <c r="AD256" s="368"/>
      <c r="AE256" s="367"/>
      <c r="AF256" s="378"/>
      <c r="AG256" s="348" t="str">
        <f t="shared" si="6"/>
        <v> </v>
      </c>
    </row>
    <row r="257" ht="15.75" customHeight="1">
      <c r="A257" s="305"/>
      <c r="B257" s="301"/>
      <c r="C257" s="301"/>
      <c r="D257" s="300"/>
      <c r="E257" s="300"/>
      <c r="F257" s="300"/>
      <c r="G257" s="300"/>
      <c r="H257" s="305"/>
      <c r="I257" s="387"/>
      <c r="J257" s="343"/>
      <c r="K257" s="343"/>
      <c r="L257" s="368"/>
      <c r="M257" s="367"/>
      <c r="N257" s="378"/>
      <c r="O257" s="348" t="str">
        <f t="shared" si="4"/>
        <v> </v>
      </c>
      <c r="P257" s="307"/>
      <c r="R257" s="387"/>
      <c r="S257" s="343"/>
      <c r="T257" s="343"/>
      <c r="U257" s="368"/>
      <c r="V257" s="367"/>
      <c r="W257" s="378"/>
      <c r="X257" s="348" t="str">
        <f t="shared" si="5"/>
        <v> </v>
      </c>
      <c r="AA257" s="387"/>
      <c r="AB257" s="343"/>
      <c r="AC257" s="343"/>
      <c r="AD257" s="368"/>
      <c r="AE257" s="367"/>
      <c r="AF257" s="378"/>
      <c r="AG257" s="348" t="str">
        <f t="shared" si="6"/>
        <v> </v>
      </c>
    </row>
    <row r="258" ht="15.75" customHeight="1">
      <c r="A258" s="305"/>
      <c r="B258" s="301"/>
      <c r="C258" s="301"/>
      <c r="D258" s="300"/>
      <c r="E258" s="300"/>
      <c r="F258" s="300"/>
      <c r="G258" s="300"/>
      <c r="H258" s="305"/>
      <c r="I258" s="387"/>
      <c r="J258" s="343"/>
      <c r="K258" s="388"/>
      <c r="L258" s="384"/>
      <c r="M258" s="386"/>
      <c r="N258" s="378"/>
      <c r="O258" s="348" t="str">
        <f t="shared" si="4"/>
        <v> </v>
      </c>
      <c r="P258" s="307"/>
      <c r="R258" s="387"/>
      <c r="S258" s="343"/>
      <c r="T258" s="388"/>
      <c r="U258" s="384"/>
      <c r="V258" s="386"/>
      <c r="W258" s="378"/>
      <c r="X258" s="348" t="str">
        <f t="shared" si="5"/>
        <v> </v>
      </c>
      <c r="AA258" s="387"/>
      <c r="AB258" s="343"/>
      <c r="AC258" s="388"/>
      <c r="AD258" s="384"/>
      <c r="AE258" s="386"/>
      <c r="AF258" s="378"/>
      <c r="AG258" s="348" t="str">
        <f t="shared" si="6"/>
        <v> </v>
      </c>
    </row>
    <row r="259" ht="15.75" customHeight="1">
      <c r="A259" s="305"/>
      <c r="B259" s="301"/>
      <c r="C259" s="301"/>
      <c r="D259" s="300"/>
      <c r="E259" s="300"/>
      <c r="F259" s="300"/>
      <c r="G259" s="300"/>
      <c r="H259" s="305"/>
      <c r="I259" s="387"/>
      <c r="J259" s="343"/>
      <c r="K259" s="343"/>
      <c r="L259" s="367"/>
      <c r="M259" s="368"/>
      <c r="N259" s="378"/>
      <c r="O259" s="348" t="str">
        <f t="shared" si="4"/>
        <v> </v>
      </c>
      <c r="P259" s="307"/>
      <c r="R259" s="387"/>
      <c r="S259" s="343"/>
      <c r="T259" s="343"/>
      <c r="U259" s="367"/>
      <c r="V259" s="368"/>
      <c r="W259" s="378"/>
      <c r="X259" s="348" t="str">
        <f t="shared" si="5"/>
        <v> </v>
      </c>
      <c r="AA259" s="387"/>
      <c r="AB259" s="343"/>
      <c r="AC259" s="343"/>
      <c r="AD259" s="367"/>
      <c r="AE259" s="368"/>
      <c r="AF259" s="378"/>
      <c r="AG259" s="348" t="str">
        <f t="shared" si="6"/>
        <v> </v>
      </c>
    </row>
    <row r="260" ht="15.75" customHeight="1">
      <c r="A260" s="305"/>
      <c r="B260" s="301"/>
      <c r="C260" s="301"/>
      <c r="D260" s="300"/>
      <c r="E260" s="300"/>
      <c r="F260" s="300"/>
      <c r="G260" s="300"/>
      <c r="H260" s="305"/>
      <c r="I260" s="387"/>
      <c r="J260" s="343"/>
      <c r="K260" s="343"/>
      <c r="L260" s="367"/>
      <c r="M260" s="367"/>
      <c r="N260" s="378"/>
      <c r="O260" s="348" t="str">
        <f t="shared" si="4"/>
        <v> </v>
      </c>
      <c r="P260" s="307"/>
      <c r="R260" s="387"/>
      <c r="S260" s="343"/>
      <c r="T260" s="343"/>
      <c r="U260" s="367"/>
      <c r="V260" s="367"/>
      <c r="W260" s="378"/>
      <c r="X260" s="348" t="str">
        <f t="shared" si="5"/>
        <v> </v>
      </c>
      <c r="AA260" s="387"/>
      <c r="AB260" s="343"/>
      <c r="AC260" s="343"/>
      <c r="AD260" s="367"/>
      <c r="AE260" s="367"/>
      <c r="AF260" s="378"/>
      <c r="AG260" s="348" t="str">
        <f t="shared" si="6"/>
        <v> </v>
      </c>
    </row>
    <row r="261" ht="15.75" customHeight="1">
      <c r="A261" s="305"/>
      <c r="B261" s="301"/>
      <c r="C261" s="301"/>
      <c r="D261" s="300"/>
      <c r="E261" s="300"/>
      <c r="F261" s="300"/>
      <c r="G261" s="300"/>
      <c r="H261" s="305"/>
      <c r="I261" s="387"/>
      <c r="J261" s="343"/>
      <c r="K261" s="383"/>
      <c r="L261" s="384"/>
      <c r="M261" s="385"/>
      <c r="N261" s="378"/>
      <c r="O261" s="348" t="str">
        <f t="shared" si="4"/>
        <v> </v>
      </c>
      <c r="P261" s="307"/>
      <c r="R261" s="387"/>
      <c r="S261" s="343"/>
      <c r="T261" s="383"/>
      <c r="U261" s="384"/>
      <c r="V261" s="385"/>
      <c r="W261" s="378"/>
      <c r="X261" s="348" t="str">
        <f t="shared" si="5"/>
        <v> </v>
      </c>
      <c r="AA261" s="387"/>
      <c r="AB261" s="343"/>
      <c r="AC261" s="383"/>
      <c r="AD261" s="384"/>
      <c r="AE261" s="385"/>
      <c r="AF261" s="378"/>
      <c r="AG261" s="348" t="str">
        <f t="shared" si="6"/>
        <v> </v>
      </c>
    </row>
    <row r="262" ht="15.75" customHeight="1">
      <c r="A262" s="305"/>
      <c r="B262" s="301"/>
      <c r="C262" s="301"/>
      <c r="D262" s="300"/>
      <c r="E262" s="300"/>
      <c r="F262" s="300"/>
      <c r="G262" s="300"/>
      <c r="H262" s="305"/>
      <c r="I262" s="387"/>
      <c r="J262" s="343"/>
      <c r="K262" s="343"/>
      <c r="L262" s="368"/>
      <c r="M262" s="367"/>
      <c r="N262" s="378"/>
      <c r="O262" s="348" t="str">
        <f t="shared" si="4"/>
        <v> </v>
      </c>
      <c r="P262" s="307"/>
      <c r="R262" s="387"/>
      <c r="S262" s="343"/>
      <c r="T262" s="343"/>
      <c r="U262" s="368"/>
      <c r="V262" s="367"/>
      <c r="W262" s="378"/>
      <c r="X262" s="348" t="str">
        <f t="shared" si="5"/>
        <v> </v>
      </c>
      <c r="AA262" s="387"/>
      <c r="AB262" s="343"/>
      <c r="AC262" s="343"/>
      <c r="AD262" s="368"/>
      <c r="AE262" s="367"/>
      <c r="AF262" s="378"/>
      <c r="AG262" s="348" t="str">
        <f t="shared" si="6"/>
        <v> </v>
      </c>
    </row>
    <row r="263" ht="15.75" customHeight="1">
      <c r="A263" s="305"/>
      <c r="B263" s="301"/>
      <c r="C263" s="301"/>
      <c r="D263" s="300"/>
      <c r="E263" s="300"/>
      <c r="F263" s="300"/>
      <c r="G263" s="300"/>
      <c r="H263" s="305"/>
      <c r="I263" s="387"/>
      <c r="J263" s="343"/>
      <c r="K263" s="343"/>
      <c r="L263" s="368"/>
      <c r="M263" s="367"/>
      <c r="N263" s="378"/>
      <c r="O263" s="348" t="str">
        <f t="shared" si="4"/>
        <v> </v>
      </c>
      <c r="P263" s="307"/>
      <c r="R263" s="387"/>
      <c r="S263" s="343"/>
      <c r="T263" s="343"/>
      <c r="U263" s="368"/>
      <c r="V263" s="367"/>
      <c r="W263" s="378"/>
      <c r="X263" s="348" t="str">
        <f t="shared" si="5"/>
        <v> </v>
      </c>
      <c r="AA263" s="387"/>
      <c r="AB263" s="343"/>
      <c r="AC263" s="343"/>
      <c r="AD263" s="368"/>
      <c r="AE263" s="367"/>
      <c r="AF263" s="378"/>
      <c r="AG263" s="348" t="str">
        <f t="shared" si="6"/>
        <v> </v>
      </c>
    </row>
    <row r="264" ht="15.75" customHeight="1">
      <c r="A264" s="305"/>
      <c r="B264" s="301"/>
      <c r="C264" s="301"/>
      <c r="D264" s="300"/>
      <c r="E264" s="300"/>
      <c r="F264" s="300"/>
      <c r="G264" s="300"/>
      <c r="H264" s="305"/>
      <c r="I264" s="387"/>
      <c r="J264" s="343"/>
      <c r="K264" s="383"/>
      <c r="L264" s="384"/>
      <c r="M264" s="385"/>
      <c r="N264" s="378"/>
      <c r="O264" s="348" t="str">
        <f t="shared" si="4"/>
        <v> </v>
      </c>
      <c r="P264" s="307"/>
      <c r="R264" s="387"/>
      <c r="S264" s="343"/>
      <c r="T264" s="383"/>
      <c r="U264" s="384"/>
      <c r="V264" s="385"/>
      <c r="W264" s="378"/>
      <c r="X264" s="348" t="str">
        <f t="shared" si="5"/>
        <v> </v>
      </c>
      <c r="AA264" s="387"/>
      <c r="AB264" s="343"/>
      <c r="AC264" s="383"/>
      <c r="AD264" s="384"/>
      <c r="AE264" s="385"/>
      <c r="AF264" s="378"/>
      <c r="AG264" s="348" t="str">
        <f t="shared" si="6"/>
        <v> </v>
      </c>
    </row>
    <row r="265" ht="15.75" customHeight="1">
      <c r="A265" s="305"/>
      <c r="B265" s="301"/>
      <c r="C265" s="301"/>
      <c r="D265" s="300"/>
      <c r="E265" s="300"/>
      <c r="F265" s="300"/>
      <c r="G265" s="300"/>
      <c r="H265" s="305"/>
      <c r="I265" s="387"/>
      <c r="J265" s="343"/>
      <c r="K265" s="343"/>
      <c r="L265" s="367"/>
      <c r="M265" s="368"/>
      <c r="N265" s="378"/>
      <c r="O265" s="348" t="str">
        <f t="shared" si="4"/>
        <v> </v>
      </c>
      <c r="P265" s="307"/>
      <c r="R265" s="387"/>
      <c r="S265" s="343"/>
      <c r="T265" s="343"/>
      <c r="U265" s="367"/>
      <c r="V265" s="368"/>
      <c r="W265" s="378"/>
      <c r="X265" s="348" t="str">
        <f t="shared" si="5"/>
        <v> </v>
      </c>
      <c r="AA265" s="387"/>
      <c r="AB265" s="343"/>
      <c r="AC265" s="343"/>
      <c r="AD265" s="367"/>
      <c r="AE265" s="368"/>
      <c r="AF265" s="378"/>
      <c r="AG265" s="348" t="str">
        <f t="shared" si="6"/>
        <v> </v>
      </c>
    </row>
    <row r="266" ht="15.75" customHeight="1">
      <c r="A266" s="305"/>
      <c r="B266" s="301"/>
      <c r="C266" s="301"/>
      <c r="D266" s="300"/>
      <c r="E266" s="300"/>
      <c r="F266" s="300"/>
      <c r="G266" s="300"/>
      <c r="H266" s="305"/>
      <c r="I266" s="387"/>
      <c r="J266" s="343"/>
      <c r="K266" s="343"/>
      <c r="L266" s="368"/>
      <c r="M266" s="367"/>
      <c r="N266" s="378"/>
      <c r="O266" s="348" t="str">
        <f t="shared" si="4"/>
        <v> </v>
      </c>
      <c r="P266" s="307"/>
      <c r="R266" s="387"/>
      <c r="S266" s="343"/>
      <c r="T266" s="343"/>
      <c r="U266" s="368"/>
      <c r="V266" s="367"/>
      <c r="W266" s="378"/>
      <c r="X266" s="348" t="str">
        <f t="shared" si="5"/>
        <v> </v>
      </c>
      <c r="AA266" s="387"/>
      <c r="AB266" s="343"/>
      <c r="AC266" s="343"/>
      <c r="AD266" s="368"/>
      <c r="AE266" s="367"/>
      <c r="AF266" s="378"/>
      <c r="AG266" s="348" t="str">
        <f t="shared" si="6"/>
        <v> </v>
      </c>
    </row>
    <row r="267" ht="15.75" customHeight="1">
      <c r="A267" s="305"/>
      <c r="B267" s="301"/>
      <c r="C267" s="301"/>
      <c r="D267" s="300"/>
      <c r="E267" s="300"/>
      <c r="F267" s="300"/>
      <c r="G267" s="300"/>
      <c r="H267" s="305"/>
      <c r="I267" s="387"/>
      <c r="J267" s="343"/>
      <c r="K267" s="383"/>
      <c r="L267" s="384"/>
      <c r="M267" s="385"/>
      <c r="N267" s="378"/>
      <c r="O267" s="348" t="str">
        <f t="shared" si="4"/>
        <v> </v>
      </c>
      <c r="P267" s="307"/>
      <c r="R267" s="387"/>
      <c r="S267" s="343"/>
      <c r="T267" s="383"/>
      <c r="U267" s="384"/>
      <c r="V267" s="385"/>
      <c r="W267" s="378"/>
      <c r="X267" s="348" t="str">
        <f t="shared" si="5"/>
        <v> </v>
      </c>
      <c r="AA267" s="387"/>
      <c r="AB267" s="343"/>
      <c r="AC267" s="383"/>
      <c r="AD267" s="384"/>
      <c r="AE267" s="385"/>
      <c r="AF267" s="378"/>
      <c r="AG267" s="348" t="str">
        <f t="shared" si="6"/>
        <v> </v>
      </c>
    </row>
    <row r="268" ht="15.75" customHeight="1">
      <c r="A268" s="305"/>
      <c r="B268" s="301"/>
      <c r="C268" s="301"/>
      <c r="D268" s="300"/>
      <c r="E268" s="300"/>
      <c r="F268" s="300"/>
      <c r="G268" s="300"/>
      <c r="H268" s="305"/>
      <c r="I268" s="387"/>
      <c r="J268" s="343"/>
      <c r="K268" s="343"/>
      <c r="L268" s="368"/>
      <c r="M268" s="367"/>
      <c r="N268" s="378"/>
      <c r="O268" s="348" t="str">
        <f t="shared" si="4"/>
        <v> </v>
      </c>
      <c r="P268" s="307"/>
      <c r="R268" s="387"/>
      <c r="S268" s="343"/>
      <c r="T268" s="343"/>
      <c r="U268" s="368"/>
      <c r="V268" s="367"/>
      <c r="W268" s="378"/>
      <c r="X268" s="348" t="str">
        <f t="shared" si="5"/>
        <v> </v>
      </c>
      <c r="AA268" s="387"/>
      <c r="AB268" s="343"/>
      <c r="AC268" s="343"/>
      <c r="AD268" s="368"/>
      <c r="AE268" s="367"/>
      <c r="AF268" s="378"/>
      <c r="AG268" s="348" t="str">
        <f t="shared" si="6"/>
        <v> </v>
      </c>
    </row>
    <row r="269" ht="15.75" customHeight="1">
      <c r="A269" s="305"/>
      <c r="B269" s="301"/>
      <c r="C269" s="301"/>
      <c r="D269" s="300"/>
      <c r="E269" s="300"/>
      <c r="F269" s="300"/>
      <c r="G269" s="300"/>
      <c r="H269" s="305"/>
      <c r="I269" s="387"/>
      <c r="J269" s="343"/>
      <c r="K269" s="343"/>
      <c r="L269" s="367"/>
      <c r="M269" s="368"/>
      <c r="N269" s="378"/>
      <c r="O269" s="348" t="str">
        <f t="shared" si="4"/>
        <v> </v>
      </c>
      <c r="P269" s="307"/>
      <c r="R269" s="387"/>
      <c r="S269" s="343"/>
      <c r="T269" s="343"/>
      <c r="U269" s="367"/>
      <c r="V269" s="368"/>
      <c r="W269" s="378"/>
      <c r="X269" s="348" t="str">
        <f t="shared" si="5"/>
        <v> </v>
      </c>
      <c r="AA269" s="387"/>
      <c r="AB269" s="343"/>
      <c r="AC269" s="343"/>
      <c r="AD269" s="367"/>
      <c r="AE269" s="368"/>
      <c r="AF269" s="378"/>
      <c r="AG269" s="348" t="str">
        <f t="shared" si="6"/>
        <v> </v>
      </c>
    </row>
    <row r="270" ht="15.75" customHeight="1">
      <c r="A270" s="305"/>
      <c r="B270" s="301"/>
      <c r="C270" s="301"/>
      <c r="D270" s="300"/>
      <c r="E270" s="300"/>
      <c r="F270" s="300"/>
      <c r="G270" s="300"/>
      <c r="H270" s="305"/>
      <c r="I270" s="387"/>
      <c r="J270" s="343"/>
      <c r="K270" s="343"/>
      <c r="L270" s="368"/>
      <c r="M270" s="367"/>
      <c r="N270" s="378"/>
      <c r="O270" s="348" t="str">
        <f t="shared" si="4"/>
        <v> </v>
      </c>
      <c r="P270" s="307"/>
      <c r="R270" s="387"/>
      <c r="S270" s="343"/>
      <c r="T270" s="343"/>
      <c r="U270" s="368"/>
      <c r="V270" s="367"/>
      <c r="W270" s="378"/>
      <c r="X270" s="348" t="str">
        <f t="shared" si="5"/>
        <v> </v>
      </c>
      <c r="AA270" s="387"/>
      <c r="AB270" s="343"/>
      <c r="AC270" s="343"/>
      <c r="AD270" s="368"/>
      <c r="AE270" s="367"/>
      <c r="AF270" s="378"/>
      <c r="AG270" s="348" t="str">
        <f t="shared" si="6"/>
        <v> </v>
      </c>
    </row>
    <row r="271" ht="15.75" customHeight="1">
      <c r="A271" s="305"/>
      <c r="B271" s="301"/>
      <c r="C271" s="301"/>
      <c r="D271" s="300"/>
      <c r="E271" s="300"/>
      <c r="F271" s="300"/>
      <c r="G271" s="300"/>
      <c r="H271" s="305"/>
      <c r="I271" s="387"/>
      <c r="J271" s="343"/>
      <c r="K271" s="343"/>
      <c r="L271" s="368"/>
      <c r="M271" s="367"/>
      <c r="N271" s="378"/>
      <c r="O271" s="348" t="str">
        <f t="shared" si="4"/>
        <v> </v>
      </c>
      <c r="P271" s="307"/>
      <c r="R271" s="387"/>
      <c r="S271" s="343"/>
      <c r="T271" s="343"/>
      <c r="U271" s="368"/>
      <c r="V271" s="367"/>
      <c r="W271" s="378"/>
      <c r="X271" s="348" t="str">
        <f t="shared" si="5"/>
        <v> </v>
      </c>
      <c r="AA271" s="387"/>
      <c r="AB271" s="343"/>
      <c r="AC271" s="343"/>
      <c r="AD271" s="368"/>
      <c r="AE271" s="367"/>
      <c r="AF271" s="378"/>
      <c r="AG271" s="348" t="str">
        <f t="shared" si="6"/>
        <v> </v>
      </c>
    </row>
    <row r="272" ht="15.75" customHeight="1">
      <c r="A272" s="305"/>
      <c r="B272" s="301"/>
      <c r="C272" s="301"/>
      <c r="D272" s="300"/>
      <c r="E272" s="300"/>
      <c r="F272" s="300"/>
      <c r="G272" s="300"/>
      <c r="H272" s="305"/>
      <c r="I272" s="387"/>
      <c r="J272" s="343"/>
      <c r="K272" s="343"/>
      <c r="L272" s="368"/>
      <c r="M272" s="367"/>
      <c r="N272" s="378"/>
      <c r="O272" s="348" t="str">
        <f t="shared" si="4"/>
        <v> </v>
      </c>
      <c r="P272" s="307"/>
      <c r="R272" s="387"/>
      <c r="S272" s="343"/>
      <c r="T272" s="343"/>
      <c r="U272" s="368"/>
      <c r="V272" s="367"/>
      <c r="W272" s="378"/>
      <c r="X272" s="348" t="str">
        <f t="shared" si="5"/>
        <v> </v>
      </c>
      <c r="AA272" s="387"/>
      <c r="AB272" s="343"/>
      <c r="AC272" s="343"/>
      <c r="AD272" s="368"/>
      <c r="AE272" s="367"/>
      <c r="AF272" s="378"/>
      <c r="AG272" s="348" t="str">
        <f t="shared" si="6"/>
        <v> </v>
      </c>
    </row>
    <row r="273" ht="15.75" customHeight="1">
      <c r="A273" s="305"/>
      <c r="B273" s="301"/>
      <c r="C273" s="301"/>
      <c r="D273" s="300"/>
      <c r="E273" s="300"/>
      <c r="F273" s="300"/>
      <c r="G273" s="300"/>
      <c r="H273" s="305"/>
      <c r="I273" s="387"/>
      <c r="J273" s="343"/>
      <c r="K273" s="369"/>
      <c r="L273" s="389"/>
      <c r="M273" s="390"/>
      <c r="N273" s="378"/>
      <c r="O273" s="348" t="str">
        <f t="shared" si="4"/>
        <v> </v>
      </c>
      <c r="P273" s="307"/>
      <c r="R273" s="387"/>
      <c r="S273" s="343"/>
      <c r="T273" s="369"/>
      <c r="U273" s="389"/>
      <c r="V273" s="390"/>
      <c r="W273" s="378"/>
      <c r="X273" s="348" t="str">
        <f t="shared" si="5"/>
        <v> </v>
      </c>
      <c r="AA273" s="387"/>
      <c r="AB273" s="343"/>
      <c r="AC273" s="369"/>
      <c r="AD273" s="389"/>
      <c r="AE273" s="390"/>
      <c r="AF273" s="378"/>
      <c r="AG273" s="348" t="str">
        <f t="shared" si="6"/>
        <v> </v>
      </c>
    </row>
    <row r="274" ht="15.75" customHeight="1">
      <c r="A274" s="305"/>
      <c r="B274" s="301"/>
      <c r="C274" s="301"/>
      <c r="D274" s="300"/>
      <c r="E274" s="300"/>
      <c r="F274" s="300"/>
      <c r="G274" s="300"/>
      <c r="H274" s="305"/>
      <c r="I274" s="387"/>
      <c r="J274" s="343"/>
      <c r="K274" s="343"/>
      <c r="L274" s="368"/>
      <c r="M274" s="367"/>
      <c r="N274" s="378"/>
      <c r="O274" s="348" t="str">
        <f t="shared" si="4"/>
        <v> </v>
      </c>
      <c r="P274" s="307"/>
      <c r="R274" s="387"/>
      <c r="S274" s="343"/>
      <c r="T274" s="343"/>
      <c r="U274" s="368"/>
      <c r="V274" s="367"/>
      <c r="W274" s="378"/>
      <c r="X274" s="348" t="str">
        <f t="shared" si="5"/>
        <v> </v>
      </c>
      <c r="AA274" s="387"/>
      <c r="AB274" s="343"/>
      <c r="AC274" s="343"/>
      <c r="AD274" s="368"/>
      <c r="AE274" s="367"/>
      <c r="AF274" s="378"/>
      <c r="AG274" s="348" t="str">
        <f t="shared" si="6"/>
        <v> </v>
      </c>
    </row>
    <row r="275" ht="32.25" customHeight="1">
      <c r="A275" s="305"/>
      <c r="B275" s="301"/>
      <c r="C275" s="301"/>
      <c r="D275" s="300"/>
      <c r="E275" s="300"/>
      <c r="F275" s="300"/>
      <c r="G275" s="300"/>
      <c r="H275" s="305"/>
      <c r="I275" s="387"/>
      <c r="J275" s="343"/>
      <c r="K275" s="343"/>
      <c r="L275" s="368"/>
      <c r="M275" s="367"/>
      <c r="N275" s="378"/>
      <c r="O275" s="348" t="str">
        <f t="shared" si="4"/>
        <v> </v>
      </c>
      <c r="P275" s="307"/>
      <c r="R275" s="387"/>
      <c r="S275" s="343"/>
      <c r="T275" s="343"/>
      <c r="U275" s="368"/>
      <c r="V275" s="367"/>
      <c r="W275" s="378"/>
      <c r="X275" s="348" t="str">
        <f t="shared" si="5"/>
        <v> </v>
      </c>
      <c r="AA275" s="387"/>
      <c r="AB275" s="343"/>
      <c r="AC275" s="343"/>
      <c r="AD275" s="368"/>
      <c r="AE275" s="367"/>
      <c r="AF275" s="378"/>
      <c r="AG275" s="348" t="str">
        <f t="shared" si="6"/>
        <v> </v>
      </c>
    </row>
    <row r="276" ht="15.75" customHeight="1">
      <c r="A276" s="305"/>
      <c r="B276" s="301"/>
      <c r="C276" s="301"/>
      <c r="D276" s="300"/>
      <c r="E276" s="300"/>
      <c r="F276" s="300"/>
      <c r="G276" s="300"/>
      <c r="H276" s="305"/>
      <c r="I276" s="387"/>
      <c r="J276" s="343"/>
      <c r="K276" s="343"/>
      <c r="L276" s="367"/>
      <c r="M276" s="368"/>
      <c r="N276" s="378"/>
      <c r="O276" s="348" t="str">
        <f t="shared" si="4"/>
        <v> </v>
      </c>
      <c r="P276" s="307"/>
      <c r="R276" s="387"/>
      <c r="S276" s="343"/>
      <c r="T276" s="343"/>
      <c r="U276" s="367"/>
      <c r="V276" s="368"/>
      <c r="W276" s="378"/>
      <c r="X276" s="348" t="str">
        <f t="shared" si="5"/>
        <v> </v>
      </c>
      <c r="AA276" s="387"/>
      <c r="AB276" s="343"/>
      <c r="AC276" s="343"/>
      <c r="AD276" s="367"/>
      <c r="AE276" s="368"/>
      <c r="AF276" s="378"/>
      <c r="AG276" s="348" t="str">
        <f t="shared" si="6"/>
        <v> </v>
      </c>
    </row>
    <row r="277" ht="15.75" customHeight="1">
      <c r="A277" s="305"/>
      <c r="B277" s="301"/>
      <c r="C277" s="301"/>
      <c r="D277" s="300"/>
      <c r="E277" s="300"/>
      <c r="F277" s="300"/>
      <c r="G277" s="300"/>
      <c r="H277" s="305"/>
      <c r="I277" s="387"/>
      <c r="J277" s="343"/>
      <c r="K277" s="343"/>
      <c r="L277" s="368"/>
      <c r="M277" s="367"/>
      <c r="N277" s="378"/>
      <c r="O277" s="348" t="str">
        <f t="shared" si="4"/>
        <v> </v>
      </c>
      <c r="P277" s="307"/>
      <c r="R277" s="387"/>
      <c r="S277" s="343"/>
      <c r="T277" s="343"/>
      <c r="U277" s="368"/>
      <c r="V277" s="367"/>
      <c r="W277" s="378"/>
      <c r="X277" s="348" t="str">
        <f t="shared" si="5"/>
        <v> </v>
      </c>
      <c r="AA277" s="387"/>
      <c r="AB277" s="343"/>
      <c r="AC277" s="343"/>
      <c r="AD277" s="368"/>
      <c r="AE277" s="367"/>
      <c r="AF277" s="378"/>
      <c r="AG277" s="348" t="str">
        <f t="shared" si="6"/>
        <v> </v>
      </c>
    </row>
    <row r="278" ht="15.75" customHeight="1">
      <c r="A278" s="305"/>
      <c r="B278" s="301"/>
      <c r="C278" s="301"/>
      <c r="D278" s="300"/>
      <c r="E278" s="300"/>
      <c r="F278" s="300"/>
      <c r="G278" s="300"/>
      <c r="H278" s="305"/>
      <c r="I278" s="387"/>
      <c r="J278" s="343"/>
      <c r="K278" s="343"/>
      <c r="L278" s="368"/>
      <c r="M278" s="367"/>
      <c r="N278" s="378"/>
      <c r="O278" s="348" t="str">
        <f t="shared" si="4"/>
        <v> </v>
      </c>
      <c r="P278" s="307"/>
      <c r="R278" s="387"/>
      <c r="S278" s="343"/>
      <c r="T278" s="343"/>
      <c r="U278" s="368"/>
      <c r="V278" s="367"/>
      <c r="W278" s="378"/>
      <c r="X278" s="348" t="str">
        <f t="shared" si="5"/>
        <v> </v>
      </c>
      <c r="AA278" s="387"/>
      <c r="AB278" s="343"/>
      <c r="AC278" s="343"/>
      <c r="AD278" s="368"/>
      <c r="AE278" s="367"/>
      <c r="AF278" s="378"/>
      <c r="AG278" s="348" t="str">
        <f t="shared" si="6"/>
        <v> </v>
      </c>
    </row>
    <row r="279" ht="15.75" customHeight="1">
      <c r="A279" s="305"/>
      <c r="B279" s="301"/>
      <c r="C279" s="301"/>
      <c r="D279" s="300"/>
      <c r="E279" s="300"/>
      <c r="F279" s="300"/>
      <c r="G279" s="300"/>
      <c r="H279" s="305"/>
      <c r="I279" s="387"/>
      <c r="J279" s="343"/>
      <c r="K279" s="343"/>
      <c r="L279" s="368"/>
      <c r="M279" s="367"/>
      <c r="N279" s="378"/>
      <c r="O279" s="348" t="str">
        <f t="shared" si="4"/>
        <v> </v>
      </c>
      <c r="P279" s="307"/>
      <c r="R279" s="387"/>
      <c r="S279" s="343"/>
      <c r="T279" s="343"/>
      <c r="U279" s="368"/>
      <c r="V279" s="367"/>
      <c r="W279" s="378"/>
      <c r="X279" s="348" t="str">
        <f t="shared" si="5"/>
        <v> </v>
      </c>
      <c r="AA279" s="387"/>
      <c r="AB279" s="343"/>
      <c r="AC279" s="343"/>
      <c r="AD279" s="368"/>
      <c r="AE279" s="367"/>
      <c r="AF279" s="378"/>
      <c r="AG279" s="348" t="str">
        <f t="shared" si="6"/>
        <v> </v>
      </c>
    </row>
    <row r="280" ht="15.75" customHeight="1">
      <c r="A280" s="305"/>
      <c r="B280" s="301"/>
      <c r="C280" s="301"/>
      <c r="D280" s="300"/>
      <c r="E280" s="300"/>
      <c r="F280" s="300"/>
      <c r="G280" s="300"/>
      <c r="H280" s="305"/>
      <c r="I280" s="387"/>
      <c r="J280" s="343"/>
      <c r="K280" s="343"/>
      <c r="L280" s="368"/>
      <c r="M280" s="367"/>
      <c r="N280" s="370"/>
      <c r="O280" s="348" t="str">
        <f t="shared" si="4"/>
        <v> </v>
      </c>
      <c r="P280" s="307"/>
      <c r="R280" s="387"/>
      <c r="S280" s="343"/>
      <c r="T280" s="343"/>
      <c r="U280" s="368"/>
      <c r="V280" s="367"/>
      <c r="W280" s="370"/>
      <c r="X280" s="348" t="str">
        <f t="shared" si="5"/>
        <v> </v>
      </c>
      <c r="AA280" s="387"/>
      <c r="AB280" s="343"/>
      <c r="AC280" s="343"/>
      <c r="AD280" s="368"/>
      <c r="AE280" s="367"/>
      <c r="AF280" s="370"/>
      <c r="AG280" s="348" t="str">
        <f t="shared" si="6"/>
        <v> </v>
      </c>
    </row>
    <row r="281" ht="15.75" customHeight="1">
      <c r="A281" s="305"/>
      <c r="B281" s="301"/>
      <c r="C281" s="301"/>
      <c r="D281" s="300"/>
      <c r="E281" s="300"/>
      <c r="F281" s="300"/>
      <c r="G281" s="300"/>
      <c r="H281" s="305"/>
      <c r="I281" s="387"/>
      <c r="J281" s="343"/>
      <c r="K281" s="383"/>
      <c r="L281" s="384"/>
      <c r="M281" s="385"/>
      <c r="N281" s="378"/>
      <c r="O281" s="348" t="str">
        <f t="shared" si="4"/>
        <v> </v>
      </c>
      <c r="P281" s="307"/>
      <c r="R281" s="387"/>
      <c r="S281" s="343"/>
      <c r="T281" s="383"/>
      <c r="U281" s="384"/>
      <c r="V281" s="385"/>
      <c r="W281" s="378"/>
      <c r="X281" s="348" t="str">
        <f t="shared" si="5"/>
        <v> </v>
      </c>
      <c r="AA281" s="387"/>
      <c r="AB281" s="343"/>
      <c r="AC281" s="383"/>
      <c r="AD281" s="384"/>
      <c r="AE281" s="385"/>
      <c r="AF281" s="378"/>
      <c r="AG281" s="348" t="str">
        <f t="shared" si="6"/>
        <v> </v>
      </c>
    </row>
    <row r="282" ht="15.75" customHeight="1">
      <c r="A282" s="305"/>
      <c r="B282" s="301"/>
      <c r="C282" s="301"/>
      <c r="D282" s="300"/>
      <c r="E282" s="300"/>
      <c r="F282" s="300"/>
      <c r="G282" s="300"/>
      <c r="H282" s="305"/>
      <c r="I282" s="391"/>
      <c r="J282" s="343"/>
      <c r="K282" s="369"/>
      <c r="L282" s="389"/>
      <c r="M282" s="390"/>
      <c r="N282" s="378"/>
      <c r="O282" s="348" t="str">
        <f t="shared" si="4"/>
        <v> </v>
      </c>
      <c r="P282" s="307"/>
      <c r="R282" s="391"/>
      <c r="S282" s="343"/>
      <c r="T282" s="369"/>
      <c r="U282" s="389"/>
      <c r="V282" s="390"/>
      <c r="W282" s="378"/>
      <c r="X282" s="348" t="str">
        <f t="shared" si="5"/>
        <v> </v>
      </c>
      <c r="AA282" s="391"/>
      <c r="AB282" s="343"/>
      <c r="AC282" s="369"/>
      <c r="AD282" s="389"/>
      <c r="AE282" s="390"/>
      <c r="AF282" s="378"/>
      <c r="AG282" s="348" t="str">
        <f t="shared" si="6"/>
        <v> </v>
      </c>
    </row>
    <row r="283" ht="15.75" customHeight="1">
      <c r="A283" s="305"/>
      <c r="B283" s="301"/>
      <c r="C283" s="301"/>
      <c r="D283" s="300"/>
      <c r="E283" s="300"/>
      <c r="F283" s="300"/>
      <c r="G283" s="300"/>
      <c r="H283" s="305"/>
      <c r="I283" s="387"/>
      <c r="J283" s="343"/>
      <c r="K283" s="343"/>
      <c r="L283" s="367"/>
      <c r="M283" s="368"/>
      <c r="N283" s="370"/>
      <c r="O283" s="348" t="str">
        <f t="shared" si="4"/>
        <v> </v>
      </c>
      <c r="P283" s="307"/>
      <c r="R283" s="387"/>
      <c r="S283" s="343"/>
      <c r="T283" s="343"/>
      <c r="U283" s="367"/>
      <c r="V283" s="368"/>
      <c r="W283" s="370"/>
      <c r="X283" s="348" t="str">
        <f t="shared" si="5"/>
        <v> </v>
      </c>
      <c r="AA283" s="387"/>
      <c r="AB283" s="343"/>
      <c r="AC283" s="343"/>
      <c r="AD283" s="367"/>
      <c r="AE283" s="368"/>
      <c r="AF283" s="370"/>
      <c r="AG283" s="348" t="str">
        <f t="shared" si="6"/>
        <v> </v>
      </c>
    </row>
    <row r="284" ht="15.75" customHeight="1">
      <c r="A284" s="305"/>
      <c r="B284" s="301"/>
      <c r="C284" s="301"/>
      <c r="D284" s="300"/>
      <c r="E284" s="300"/>
      <c r="F284" s="300"/>
      <c r="G284" s="300"/>
      <c r="H284" s="305"/>
      <c r="I284" s="387"/>
      <c r="J284" s="343"/>
      <c r="K284" s="343"/>
      <c r="L284" s="368"/>
      <c r="M284" s="367"/>
      <c r="N284" s="378"/>
      <c r="O284" s="348" t="str">
        <f t="shared" si="4"/>
        <v> </v>
      </c>
      <c r="P284" s="307"/>
      <c r="R284" s="387"/>
      <c r="S284" s="343"/>
      <c r="T284" s="343"/>
      <c r="U284" s="368"/>
      <c r="V284" s="367"/>
      <c r="W284" s="378"/>
      <c r="X284" s="348" t="str">
        <f t="shared" si="5"/>
        <v> </v>
      </c>
      <c r="AA284" s="387"/>
      <c r="AB284" s="343"/>
      <c r="AC284" s="343"/>
      <c r="AD284" s="368"/>
      <c r="AE284" s="367"/>
      <c r="AF284" s="378"/>
      <c r="AG284" s="348" t="str">
        <f t="shared" si="6"/>
        <v> </v>
      </c>
    </row>
    <row r="285" ht="15.75" customHeight="1">
      <c r="A285" s="305"/>
      <c r="B285" s="301"/>
      <c r="C285" s="301"/>
      <c r="D285" s="300"/>
      <c r="E285" s="300"/>
      <c r="F285" s="300"/>
      <c r="G285" s="300"/>
      <c r="H285" s="305"/>
      <c r="I285" s="387"/>
      <c r="J285" s="343"/>
      <c r="K285" s="343"/>
      <c r="L285" s="368"/>
      <c r="M285" s="367"/>
      <c r="N285" s="378"/>
      <c r="O285" s="348" t="str">
        <f t="shared" si="4"/>
        <v> </v>
      </c>
      <c r="P285" s="307"/>
      <c r="R285" s="387"/>
      <c r="S285" s="343"/>
      <c r="T285" s="343"/>
      <c r="U285" s="368"/>
      <c r="V285" s="367"/>
      <c r="W285" s="378"/>
      <c r="X285" s="348" t="str">
        <f t="shared" si="5"/>
        <v> </v>
      </c>
      <c r="AA285" s="387"/>
      <c r="AB285" s="343"/>
      <c r="AC285" s="343"/>
      <c r="AD285" s="368"/>
      <c r="AE285" s="367"/>
      <c r="AF285" s="378"/>
      <c r="AG285" s="348" t="str">
        <f t="shared" si="6"/>
        <v> </v>
      </c>
    </row>
    <row r="286" ht="15.75" customHeight="1">
      <c r="A286" s="305"/>
      <c r="B286" s="301"/>
      <c r="C286" s="301"/>
      <c r="D286" s="300"/>
      <c r="E286" s="300"/>
      <c r="F286" s="300"/>
      <c r="G286" s="300"/>
      <c r="H286" s="305"/>
      <c r="I286" s="387"/>
      <c r="J286" s="343"/>
      <c r="K286" s="383"/>
      <c r="L286" s="384"/>
      <c r="M286" s="385"/>
      <c r="N286" s="378"/>
      <c r="O286" s="348" t="str">
        <f t="shared" si="4"/>
        <v> </v>
      </c>
      <c r="P286" s="307"/>
      <c r="R286" s="387"/>
      <c r="S286" s="343"/>
      <c r="T286" s="383"/>
      <c r="U286" s="384"/>
      <c r="V286" s="385"/>
      <c r="W286" s="378"/>
      <c r="X286" s="348" t="str">
        <f t="shared" si="5"/>
        <v> </v>
      </c>
      <c r="AA286" s="387"/>
      <c r="AB286" s="343"/>
      <c r="AC286" s="383"/>
      <c r="AD286" s="384"/>
      <c r="AE286" s="385"/>
      <c r="AF286" s="378"/>
      <c r="AG286" s="348" t="str">
        <f t="shared" si="6"/>
        <v> </v>
      </c>
    </row>
    <row r="287" ht="15.75" customHeight="1">
      <c r="A287" s="305"/>
      <c r="B287" s="301"/>
      <c r="C287" s="301"/>
      <c r="D287" s="300"/>
      <c r="E287" s="300"/>
      <c r="F287" s="300"/>
      <c r="G287" s="300"/>
      <c r="H287" s="305"/>
      <c r="I287" s="387"/>
      <c r="J287" s="343"/>
      <c r="K287" s="343"/>
      <c r="L287" s="368"/>
      <c r="M287" s="367"/>
      <c r="N287" s="378"/>
      <c r="O287" s="348" t="str">
        <f t="shared" si="4"/>
        <v> </v>
      </c>
      <c r="P287" s="307"/>
      <c r="R287" s="387"/>
      <c r="S287" s="343"/>
      <c r="T287" s="343"/>
      <c r="U287" s="368"/>
      <c r="V287" s="367"/>
      <c r="W287" s="378"/>
      <c r="X287" s="348" t="str">
        <f t="shared" si="5"/>
        <v> </v>
      </c>
      <c r="AA287" s="387"/>
      <c r="AB287" s="343"/>
      <c r="AC287" s="343"/>
      <c r="AD287" s="368"/>
      <c r="AE287" s="367"/>
      <c r="AF287" s="378"/>
      <c r="AG287" s="348" t="str">
        <f t="shared" si="6"/>
        <v> </v>
      </c>
    </row>
    <row r="288" ht="15.75" customHeight="1">
      <c r="A288" s="305"/>
      <c r="B288" s="301"/>
      <c r="C288" s="301"/>
      <c r="D288" s="300"/>
      <c r="E288" s="300"/>
      <c r="F288" s="300"/>
      <c r="G288" s="300"/>
      <c r="H288" s="305"/>
      <c r="I288" s="387"/>
      <c r="J288" s="343"/>
      <c r="K288" s="343"/>
      <c r="L288" s="368"/>
      <c r="M288" s="367"/>
      <c r="N288" s="378"/>
      <c r="O288" s="348" t="str">
        <f t="shared" si="4"/>
        <v> </v>
      </c>
      <c r="P288" s="307"/>
      <c r="R288" s="387"/>
      <c r="S288" s="343"/>
      <c r="T288" s="343"/>
      <c r="U288" s="368"/>
      <c r="V288" s="367"/>
      <c r="W288" s="378"/>
      <c r="X288" s="348" t="str">
        <f t="shared" si="5"/>
        <v> </v>
      </c>
      <c r="AA288" s="387"/>
      <c r="AB288" s="343"/>
      <c r="AC288" s="343"/>
      <c r="AD288" s="368"/>
      <c r="AE288" s="367"/>
      <c r="AF288" s="378"/>
      <c r="AG288" s="348" t="str">
        <f t="shared" si="6"/>
        <v> </v>
      </c>
    </row>
    <row r="289" ht="15.75" customHeight="1">
      <c r="A289" s="305"/>
      <c r="B289" s="301"/>
      <c r="C289" s="301"/>
      <c r="D289" s="300"/>
      <c r="E289" s="300"/>
      <c r="F289" s="300"/>
      <c r="G289" s="300"/>
      <c r="H289" s="305"/>
      <c r="I289" s="387"/>
      <c r="J289" s="343"/>
      <c r="K289" s="343"/>
      <c r="L289" s="368"/>
      <c r="M289" s="367"/>
      <c r="N289" s="378"/>
      <c r="O289" s="348" t="str">
        <f t="shared" si="4"/>
        <v> </v>
      </c>
      <c r="P289" s="307"/>
      <c r="R289" s="387"/>
      <c r="S289" s="343"/>
      <c r="T289" s="343"/>
      <c r="U289" s="368"/>
      <c r="V289" s="367"/>
      <c r="W289" s="378"/>
      <c r="X289" s="348" t="str">
        <f t="shared" si="5"/>
        <v> </v>
      </c>
      <c r="AA289" s="387"/>
      <c r="AB289" s="343"/>
      <c r="AC289" s="343"/>
      <c r="AD289" s="368"/>
      <c r="AE289" s="367"/>
      <c r="AF289" s="378"/>
      <c r="AG289" s="348" t="str">
        <f t="shared" si="6"/>
        <v> </v>
      </c>
    </row>
    <row r="290" ht="15.75" customHeight="1">
      <c r="A290" s="305"/>
      <c r="B290" s="301"/>
      <c r="C290" s="301"/>
      <c r="D290" s="300"/>
      <c r="E290" s="300"/>
      <c r="F290" s="300"/>
      <c r="G290" s="300"/>
      <c r="H290" s="305"/>
      <c r="I290" s="387"/>
      <c r="J290" s="343"/>
      <c r="K290" s="383"/>
      <c r="L290" s="384"/>
      <c r="M290" s="385"/>
      <c r="N290" s="378"/>
      <c r="O290" s="348" t="str">
        <f t="shared" si="4"/>
        <v> </v>
      </c>
      <c r="P290" s="307"/>
      <c r="R290" s="387"/>
      <c r="S290" s="343"/>
      <c r="T290" s="383"/>
      <c r="U290" s="384"/>
      <c r="V290" s="385"/>
      <c r="W290" s="378"/>
      <c r="X290" s="348" t="str">
        <f t="shared" si="5"/>
        <v> </v>
      </c>
      <c r="AA290" s="387"/>
      <c r="AB290" s="343"/>
      <c r="AC290" s="383"/>
      <c r="AD290" s="384"/>
      <c r="AE290" s="385"/>
      <c r="AF290" s="378"/>
      <c r="AG290" s="348" t="str">
        <f t="shared" si="6"/>
        <v> </v>
      </c>
    </row>
    <row r="291" ht="15.75" customHeight="1">
      <c r="A291" s="305"/>
      <c r="B291" s="301"/>
      <c r="C291" s="301"/>
      <c r="D291" s="300"/>
      <c r="E291" s="300"/>
      <c r="F291" s="300"/>
      <c r="G291" s="300"/>
      <c r="H291" s="305"/>
      <c r="I291" s="387"/>
      <c r="J291" s="343"/>
      <c r="K291" s="383"/>
      <c r="L291" s="368"/>
      <c r="M291" s="367"/>
      <c r="N291" s="378"/>
      <c r="O291" s="348" t="str">
        <f t="shared" si="4"/>
        <v> </v>
      </c>
      <c r="P291" s="307"/>
      <c r="R291" s="387"/>
      <c r="S291" s="343"/>
      <c r="T291" s="383"/>
      <c r="U291" s="368"/>
      <c r="V291" s="367"/>
      <c r="W291" s="378"/>
      <c r="X291" s="348" t="str">
        <f t="shared" si="5"/>
        <v> </v>
      </c>
      <c r="AA291" s="387"/>
      <c r="AB291" s="343"/>
      <c r="AC291" s="383"/>
      <c r="AD291" s="368"/>
      <c r="AE291" s="367"/>
      <c r="AF291" s="378"/>
      <c r="AG291" s="348" t="str">
        <f t="shared" si="6"/>
        <v> </v>
      </c>
    </row>
    <row r="292" ht="15.75" customHeight="1">
      <c r="A292" s="305"/>
      <c r="B292" s="301"/>
      <c r="C292" s="301"/>
      <c r="D292" s="300"/>
      <c r="E292" s="300"/>
      <c r="F292" s="300"/>
      <c r="G292" s="300"/>
      <c r="H292" s="305"/>
      <c r="I292" s="387"/>
      <c r="J292" s="343"/>
      <c r="K292" s="343"/>
      <c r="L292" s="368"/>
      <c r="M292" s="367"/>
      <c r="N292" s="378"/>
      <c r="O292" s="348" t="str">
        <f t="shared" si="4"/>
        <v> </v>
      </c>
      <c r="P292" s="307"/>
      <c r="R292" s="387"/>
      <c r="S292" s="343"/>
      <c r="T292" s="343"/>
      <c r="U292" s="368"/>
      <c r="V292" s="367"/>
      <c r="W292" s="378"/>
      <c r="X292" s="348" t="str">
        <f t="shared" si="5"/>
        <v> </v>
      </c>
      <c r="AA292" s="387"/>
      <c r="AB292" s="343"/>
      <c r="AC292" s="343"/>
      <c r="AD292" s="368"/>
      <c r="AE292" s="367"/>
      <c r="AF292" s="378"/>
      <c r="AG292" s="348" t="str">
        <f t="shared" si="6"/>
        <v> </v>
      </c>
    </row>
    <row r="293" ht="15.75" customHeight="1">
      <c r="A293" s="305"/>
      <c r="B293" s="301"/>
      <c r="C293" s="301"/>
      <c r="D293" s="300"/>
      <c r="E293" s="300"/>
      <c r="F293" s="300"/>
      <c r="G293" s="300"/>
      <c r="H293" s="305"/>
      <c r="I293" s="387"/>
      <c r="J293" s="343"/>
      <c r="K293" s="343"/>
      <c r="L293" s="367"/>
      <c r="M293" s="368"/>
      <c r="N293" s="378"/>
      <c r="O293" s="348" t="str">
        <f t="shared" si="4"/>
        <v> </v>
      </c>
      <c r="P293" s="307"/>
      <c r="R293" s="387"/>
      <c r="S293" s="343"/>
      <c r="T293" s="343"/>
      <c r="U293" s="367"/>
      <c r="V293" s="368"/>
      <c r="W293" s="378"/>
      <c r="X293" s="348" t="str">
        <f t="shared" si="5"/>
        <v> </v>
      </c>
      <c r="AA293" s="387"/>
      <c r="AB293" s="343"/>
      <c r="AC293" s="343"/>
      <c r="AD293" s="367"/>
      <c r="AE293" s="368"/>
      <c r="AF293" s="378"/>
      <c r="AG293" s="348" t="str">
        <f t="shared" si="6"/>
        <v> </v>
      </c>
    </row>
    <row r="294" ht="15.75" customHeight="1">
      <c r="A294" s="305"/>
      <c r="B294" s="301"/>
      <c r="C294" s="301"/>
      <c r="D294" s="300"/>
      <c r="E294" s="300"/>
      <c r="F294" s="300"/>
      <c r="G294" s="300"/>
      <c r="H294" s="305"/>
      <c r="I294" s="387"/>
      <c r="J294" s="343"/>
      <c r="K294" s="343"/>
      <c r="L294" s="368"/>
      <c r="M294" s="367"/>
      <c r="N294" s="378"/>
      <c r="O294" s="348" t="str">
        <f t="shared" si="4"/>
        <v> </v>
      </c>
      <c r="P294" s="307"/>
      <c r="R294" s="387"/>
      <c r="S294" s="343"/>
      <c r="T294" s="343"/>
      <c r="U294" s="368"/>
      <c r="V294" s="367"/>
      <c r="W294" s="378"/>
      <c r="X294" s="348" t="str">
        <f t="shared" si="5"/>
        <v> </v>
      </c>
      <c r="AA294" s="387"/>
      <c r="AB294" s="343"/>
      <c r="AC294" s="343"/>
      <c r="AD294" s="368"/>
      <c r="AE294" s="367"/>
      <c r="AF294" s="378"/>
      <c r="AG294" s="348" t="str">
        <f t="shared" si="6"/>
        <v> </v>
      </c>
    </row>
    <row r="295" ht="15.75" customHeight="1">
      <c r="A295" s="305"/>
      <c r="B295" s="301"/>
      <c r="C295" s="301"/>
      <c r="D295" s="300"/>
      <c r="E295" s="300"/>
      <c r="F295" s="300"/>
      <c r="G295" s="300"/>
      <c r="H295" s="305"/>
      <c r="I295" s="387"/>
      <c r="J295" s="343"/>
      <c r="K295" s="343"/>
      <c r="L295" s="368"/>
      <c r="M295" s="367"/>
      <c r="N295" s="378"/>
      <c r="O295" s="348" t="str">
        <f t="shared" si="4"/>
        <v> </v>
      </c>
      <c r="P295" s="307"/>
      <c r="R295" s="387"/>
      <c r="S295" s="343"/>
      <c r="T295" s="343"/>
      <c r="U295" s="368"/>
      <c r="V295" s="367"/>
      <c r="W295" s="378"/>
      <c r="X295" s="348" t="str">
        <f t="shared" si="5"/>
        <v> </v>
      </c>
      <c r="AA295" s="387"/>
      <c r="AB295" s="343"/>
      <c r="AC295" s="343"/>
      <c r="AD295" s="368"/>
      <c r="AE295" s="367"/>
      <c r="AF295" s="378"/>
      <c r="AG295" s="348" t="str">
        <f t="shared" si="6"/>
        <v> </v>
      </c>
    </row>
    <row r="296" ht="15.0" customHeight="1">
      <c r="A296" s="305"/>
      <c r="B296" s="301"/>
      <c r="C296" s="301"/>
      <c r="D296" s="300"/>
      <c r="E296" s="300"/>
      <c r="F296" s="300"/>
      <c r="G296" s="300"/>
      <c r="H296" s="305"/>
      <c r="I296" s="387"/>
      <c r="J296" s="343"/>
      <c r="K296" s="343"/>
      <c r="L296" s="367"/>
      <c r="M296" s="368"/>
      <c r="N296" s="378"/>
      <c r="O296" s="348" t="str">
        <f t="shared" si="4"/>
        <v> </v>
      </c>
      <c r="P296" s="307"/>
      <c r="R296" s="387"/>
      <c r="S296" s="343"/>
      <c r="T296" s="343"/>
      <c r="U296" s="367"/>
      <c r="V296" s="368"/>
      <c r="W296" s="378"/>
      <c r="X296" s="348" t="str">
        <f t="shared" si="5"/>
        <v> </v>
      </c>
      <c r="AA296" s="387"/>
      <c r="AB296" s="343"/>
      <c r="AC296" s="343"/>
      <c r="AD296" s="367"/>
      <c r="AE296" s="368"/>
      <c r="AF296" s="378"/>
      <c r="AG296" s="348" t="str">
        <f t="shared" si="6"/>
        <v> </v>
      </c>
    </row>
    <row r="297" ht="15.75" customHeight="1">
      <c r="A297" s="305"/>
      <c r="B297" s="301"/>
      <c r="C297" s="301"/>
      <c r="D297" s="300"/>
      <c r="E297" s="300"/>
      <c r="F297" s="300"/>
      <c r="G297" s="300"/>
      <c r="H297" s="392"/>
      <c r="I297" s="387"/>
      <c r="J297" s="343"/>
      <c r="K297" s="343"/>
      <c r="L297" s="367"/>
      <c r="M297" s="368"/>
      <c r="N297" s="378"/>
      <c r="O297" s="348" t="str">
        <f t="shared" si="4"/>
        <v> </v>
      </c>
      <c r="P297" s="354"/>
      <c r="R297" s="387"/>
      <c r="S297" s="343"/>
      <c r="T297" s="343"/>
      <c r="U297" s="367"/>
      <c r="V297" s="368"/>
      <c r="W297" s="378"/>
      <c r="X297" s="348" t="str">
        <f t="shared" si="5"/>
        <v> </v>
      </c>
      <c r="AA297" s="387"/>
      <c r="AB297" s="343"/>
      <c r="AC297" s="343"/>
      <c r="AD297" s="367"/>
      <c r="AE297" s="368"/>
      <c r="AF297" s="378"/>
      <c r="AG297" s="348" t="str">
        <f t="shared" si="6"/>
        <v> </v>
      </c>
    </row>
    <row r="298" ht="15.75" customHeight="1">
      <c r="A298" s="305"/>
      <c r="B298" s="301"/>
      <c r="C298" s="301"/>
      <c r="D298" s="300"/>
      <c r="E298" s="300"/>
      <c r="F298" s="300"/>
      <c r="G298" s="300"/>
      <c r="H298" s="393"/>
      <c r="I298" s="387"/>
      <c r="J298" s="343"/>
      <c r="K298" s="343"/>
      <c r="L298" s="368"/>
      <c r="M298" s="367"/>
      <c r="N298" s="378"/>
      <c r="O298" s="348" t="str">
        <f t="shared" si="4"/>
        <v> </v>
      </c>
      <c r="P298" s="307"/>
      <c r="R298" s="387"/>
      <c r="S298" s="343"/>
      <c r="T298" s="343"/>
      <c r="U298" s="368"/>
      <c r="V298" s="367"/>
      <c r="W298" s="378"/>
      <c r="X298" s="348" t="str">
        <f t="shared" si="5"/>
        <v> </v>
      </c>
      <c r="AA298" s="387"/>
      <c r="AB298" s="343"/>
      <c r="AC298" s="343"/>
      <c r="AD298" s="368"/>
      <c r="AE298" s="367"/>
      <c r="AF298" s="378"/>
      <c r="AG298" s="348" t="str">
        <f t="shared" si="6"/>
        <v> </v>
      </c>
    </row>
    <row r="299" ht="15.75" customHeight="1">
      <c r="A299" s="305"/>
      <c r="B299" s="301"/>
      <c r="C299" s="301"/>
      <c r="D299" s="300"/>
      <c r="E299" s="300"/>
      <c r="F299" s="300"/>
      <c r="G299" s="300"/>
      <c r="H299" s="392"/>
      <c r="I299" s="387"/>
      <c r="J299" s="343"/>
      <c r="K299" s="383"/>
      <c r="L299" s="384"/>
      <c r="M299" s="385"/>
      <c r="N299" s="378"/>
      <c r="O299" s="348" t="str">
        <f t="shared" si="4"/>
        <v> </v>
      </c>
      <c r="P299" s="354"/>
      <c r="R299" s="387"/>
      <c r="S299" s="343"/>
      <c r="T299" s="383"/>
      <c r="U299" s="384"/>
      <c r="V299" s="385"/>
      <c r="W299" s="378"/>
      <c r="X299" s="348" t="str">
        <f t="shared" si="5"/>
        <v> </v>
      </c>
      <c r="AA299" s="387"/>
      <c r="AB299" s="343"/>
      <c r="AC299" s="383"/>
      <c r="AD299" s="384"/>
      <c r="AE299" s="385"/>
      <c r="AF299" s="378"/>
      <c r="AG299" s="348" t="str">
        <f t="shared" si="6"/>
        <v> </v>
      </c>
    </row>
    <row r="300" ht="15.75" customHeight="1">
      <c r="A300" s="305"/>
      <c r="B300" s="301"/>
      <c r="C300" s="301"/>
      <c r="D300" s="300"/>
      <c r="E300" s="300"/>
      <c r="F300" s="300"/>
      <c r="G300" s="300"/>
      <c r="H300" s="393"/>
      <c r="I300" s="387"/>
      <c r="J300" s="343"/>
      <c r="K300" s="343"/>
      <c r="L300" s="367"/>
      <c r="M300" s="368"/>
      <c r="N300" s="378"/>
      <c r="O300" s="348" t="str">
        <f t="shared" si="4"/>
        <v> </v>
      </c>
      <c r="P300" s="307"/>
      <c r="R300" s="387"/>
      <c r="S300" s="343"/>
      <c r="T300" s="343"/>
      <c r="U300" s="367"/>
      <c r="V300" s="368"/>
      <c r="W300" s="378"/>
      <c r="X300" s="348" t="str">
        <f t="shared" si="5"/>
        <v> </v>
      </c>
      <c r="AA300" s="387"/>
      <c r="AB300" s="343"/>
      <c r="AC300" s="343"/>
      <c r="AD300" s="367"/>
      <c r="AE300" s="368"/>
      <c r="AF300" s="378"/>
      <c r="AG300" s="348" t="str">
        <f t="shared" si="6"/>
        <v> </v>
      </c>
    </row>
    <row r="301" ht="15.75" customHeight="1">
      <c r="A301" s="305"/>
      <c r="B301" s="301"/>
      <c r="C301" s="301"/>
      <c r="D301" s="300"/>
      <c r="E301" s="300"/>
      <c r="F301" s="300"/>
      <c r="G301" s="300"/>
      <c r="H301" s="392"/>
      <c r="I301" s="387"/>
      <c r="J301" s="343"/>
      <c r="K301" s="343"/>
      <c r="L301" s="367"/>
      <c r="M301" s="368"/>
      <c r="N301" s="378"/>
      <c r="O301" s="348" t="str">
        <f t="shared" si="4"/>
        <v> </v>
      </c>
      <c r="P301" s="394"/>
      <c r="R301" s="387"/>
      <c r="S301" s="343"/>
      <c r="T301" s="343"/>
      <c r="U301" s="367"/>
      <c r="V301" s="368"/>
      <c r="W301" s="378"/>
      <c r="X301" s="348" t="str">
        <f t="shared" si="5"/>
        <v> </v>
      </c>
      <c r="AA301" s="387"/>
      <c r="AB301" s="343"/>
      <c r="AC301" s="343"/>
      <c r="AD301" s="367"/>
      <c r="AE301" s="368"/>
      <c r="AF301" s="378"/>
      <c r="AG301" s="348" t="str">
        <f t="shared" si="6"/>
        <v> </v>
      </c>
    </row>
    <row r="302" ht="15.75" customHeight="1">
      <c r="A302" s="305"/>
      <c r="B302" s="301"/>
      <c r="C302" s="301"/>
      <c r="D302" s="300"/>
      <c r="E302" s="300"/>
      <c r="F302" s="300"/>
      <c r="G302" s="300"/>
      <c r="H302" s="392"/>
      <c r="I302" s="395"/>
      <c r="J302" s="343"/>
      <c r="K302" s="343"/>
      <c r="L302" s="368"/>
      <c r="M302" s="367"/>
      <c r="N302" s="378"/>
      <c r="O302" s="348" t="str">
        <f t="shared" si="4"/>
        <v> </v>
      </c>
      <c r="P302" s="307"/>
      <c r="R302" s="395"/>
      <c r="S302" s="343"/>
      <c r="T302" s="343"/>
      <c r="U302" s="368"/>
      <c r="V302" s="367"/>
      <c r="W302" s="378"/>
      <c r="X302" s="348" t="str">
        <f t="shared" si="5"/>
        <v> </v>
      </c>
      <c r="AA302" s="395"/>
      <c r="AB302" s="343"/>
      <c r="AC302" s="343"/>
      <c r="AD302" s="368"/>
      <c r="AE302" s="367"/>
      <c r="AF302" s="378"/>
      <c r="AG302" s="348" t="str">
        <f t="shared" si="6"/>
        <v> </v>
      </c>
    </row>
    <row r="303" ht="15.75" customHeight="1">
      <c r="A303" s="305"/>
      <c r="B303" s="301"/>
      <c r="C303" s="301"/>
      <c r="D303" s="300"/>
      <c r="E303" s="300"/>
      <c r="F303" s="300"/>
      <c r="G303" s="300"/>
      <c r="H303" s="392"/>
      <c r="I303" s="395"/>
      <c r="J303" s="343"/>
      <c r="K303" s="343"/>
      <c r="L303" s="367"/>
      <c r="M303" s="368"/>
      <c r="N303" s="378"/>
      <c r="O303" s="348" t="str">
        <f t="shared" si="4"/>
        <v> </v>
      </c>
      <c r="P303" s="354"/>
      <c r="R303" s="395"/>
      <c r="S303" s="343"/>
      <c r="T303" s="343"/>
      <c r="U303" s="367"/>
      <c r="V303" s="368"/>
      <c r="W303" s="378"/>
      <c r="X303" s="348" t="str">
        <f t="shared" si="5"/>
        <v> </v>
      </c>
      <c r="AA303" s="395"/>
      <c r="AB303" s="343"/>
      <c r="AC303" s="343"/>
      <c r="AD303" s="367"/>
      <c r="AE303" s="368"/>
      <c r="AF303" s="378"/>
      <c r="AG303" s="348" t="str">
        <f t="shared" si="6"/>
        <v> </v>
      </c>
    </row>
    <row r="304" ht="15.75" customHeight="1">
      <c r="A304" s="305"/>
      <c r="B304" s="301"/>
      <c r="C304" s="301"/>
      <c r="D304" s="300"/>
      <c r="E304" s="300"/>
      <c r="F304" s="300"/>
      <c r="G304" s="300"/>
      <c r="H304" s="392"/>
      <c r="I304" s="395"/>
      <c r="J304" s="343"/>
      <c r="K304" s="343"/>
      <c r="L304" s="367"/>
      <c r="M304" s="367"/>
      <c r="N304" s="378"/>
      <c r="O304" s="348" t="str">
        <f t="shared" si="4"/>
        <v> </v>
      </c>
      <c r="P304" s="307"/>
      <c r="R304" s="395"/>
      <c r="S304" s="343"/>
      <c r="T304" s="343"/>
      <c r="U304" s="367"/>
      <c r="V304" s="367"/>
      <c r="W304" s="378"/>
      <c r="X304" s="348" t="str">
        <f t="shared" si="5"/>
        <v> </v>
      </c>
      <c r="AA304" s="395"/>
      <c r="AB304" s="343"/>
      <c r="AC304" s="343"/>
      <c r="AD304" s="367"/>
      <c r="AE304" s="367"/>
      <c r="AF304" s="378"/>
      <c r="AG304" s="348" t="str">
        <f t="shared" si="6"/>
        <v> </v>
      </c>
    </row>
    <row r="305" ht="15.75" customHeight="1">
      <c r="A305" s="305"/>
      <c r="B305" s="301"/>
      <c r="C305" s="301"/>
      <c r="D305" s="300"/>
      <c r="E305" s="300"/>
      <c r="F305" s="300"/>
      <c r="G305" s="300"/>
      <c r="H305" s="392"/>
      <c r="I305" s="395"/>
      <c r="J305" s="343"/>
      <c r="K305" s="343"/>
      <c r="L305" s="367"/>
      <c r="M305" s="367"/>
      <c r="N305" s="378"/>
      <c r="O305" s="396" t="str">
        <f t="shared" si="4"/>
        <v> </v>
      </c>
      <c r="P305" s="307"/>
      <c r="R305" s="395"/>
      <c r="S305" s="343"/>
      <c r="T305" s="343"/>
      <c r="U305" s="367"/>
      <c r="V305" s="367"/>
      <c r="W305" s="378"/>
      <c r="X305" s="396" t="str">
        <f t="shared" si="5"/>
        <v> </v>
      </c>
      <c r="AA305" s="395"/>
      <c r="AB305" s="343"/>
      <c r="AC305" s="343"/>
      <c r="AD305" s="367"/>
      <c r="AE305" s="367"/>
      <c r="AF305" s="378"/>
      <c r="AG305" s="396" t="str">
        <f t="shared" si="6"/>
        <v> </v>
      </c>
    </row>
  </sheetData>
  <mergeCells count="53">
    <mergeCell ref="F6:F9"/>
    <mergeCell ref="G6:G9"/>
    <mergeCell ref="B4:C5"/>
    <mergeCell ref="D4:D5"/>
    <mergeCell ref="E4:E5"/>
    <mergeCell ref="G4:G5"/>
    <mergeCell ref="B6:C9"/>
    <mergeCell ref="D6:D9"/>
    <mergeCell ref="E6:E9"/>
    <mergeCell ref="E18:E21"/>
    <mergeCell ref="F18:F21"/>
    <mergeCell ref="B18:C21"/>
    <mergeCell ref="B22:E22"/>
    <mergeCell ref="B14:C17"/>
    <mergeCell ref="D14:D17"/>
    <mergeCell ref="E14:E17"/>
    <mergeCell ref="F14:F17"/>
    <mergeCell ref="G14:G17"/>
    <mergeCell ref="D18:D21"/>
    <mergeCell ref="G18:G21"/>
    <mergeCell ref="I1:O1"/>
    <mergeCell ref="R1:X1"/>
    <mergeCell ref="AA1:AG1"/>
    <mergeCell ref="I2:O2"/>
    <mergeCell ref="R2:X2"/>
    <mergeCell ref="AA2:AG2"/>
    <mergeCell ref="B3:G3"/>
    <mergeCell ref="L4:L5"/>
    <mergeCell ref="M4:M5"/>
    <mergeCell ref="I3:I5"/>
    <mergeCell ref="J3:J5"/>
    <mergeCell ref="K3:K5"/>
    <mergeCell ref="N3:N5"/>
    <mergeCell ref="O3:O5"/>
    <mergeCell ref="R3:R5"/>
    <mergeCell ref="S3:S5"/>
    <mergeCell ref="T3:T5"/>
    <mergeCell ref="U4:U5"/>
    <mergeCell ref="AC3:AC5"/>
    <mergeCell ref="AD4:AD5"/>
    <mergeCell ref="W3:W5"/>
    <mergeCell ref="X3:X5"/>
    <mergeCell ref="AA3:AA5"/>
    <mergeCell ref="AB3:AB5"/>
    <mergeCell ref="AF3:AF5"/>
    <mergeCell ref="AG3:AG5"/>
    <mergeCell ref="V4:V5"/>
    <mergeCell ref="AE4:AE5"/>
    <mergeCell ref="B10:C13"/>
    <mergeCell ref="D10:D13"/>
    <mergeCell ref="E10:E13"/>
    <mergeCell ref="F10:F13"/>
    <mergeCell ref="G10:G13"/>
  </mergeCells>
  <dataValidations>
    <dataValidation type="list" allowBlank="1" showErrorMessage="1" sqref="K6:K305 T6:T305 AC6:AC305">
      <formula1>"General,Finance,Logistic,Program,Marketing,Partnership"</formula1>
    </dataValidation>
    <dataValidation type="custom" allowBlank="1" showDropDown="1" sqref="I6:I305 R6:R305 AA6:AA305">
      <formula1>OR(NOT(ISERROR(DATEVALUE(I6))), AND(ISNUMBER(I6), LEFT(CELL("format", I6))="D"))</formula1>
    </dataValidation>
  </dataValidations>
  <printOptions/>
  <pageMargins bottom="0.75" footer="0.0" header="0.0" left="0.7" right="0.7" top="0.75"/>
  <pageSetup orientation="landscape" paperHeight="11.693in" paperWidth="25.534999999999997i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2" width="25.0"/>
    <col customWidth="1" min="3" max="3" width="21.86"/>
    <col customWidth="1" min="4" max="4" width="10.29"/>
    <col customWidth="1" min="5" max="5" width="22.86"/>
    <col customWidth="1" min="6" max="6" width="23.43"/>
    <col customWidth="1" min="7" max="7" width="27.71"/>
    <col customWidth="1" min="8" max="8" width="25.14"/>
    <col customWidth="1" min="9" max="9" width="12.43"/>
  </cols>
  <sheetData>
    <row r="1" ht="43.5" customHeight="1">
      <c r="A1" s="397"/>
      <c r="B1" s="398" t="s">
        <v>206</v>
      </c>
      <c r="C1" s="3"/>
      <c r="D1" s="3"/>
      <c r="E1" s="3"/>
      <c r="F1" s="3"/>
      <c r="G1" s="3"/>
      <c r="H1" s="181"/>
      <c r="I1" s="397"/>
    </row>
    <row r="2">
      <c r="A2" s="397"/>
      <c r="B2" s="399" t="s">
        <v>207</v>
      </c>
      <c r="C2" s="400" t="s">
        <v>5</v>
      </c>
      <c r="D2" s="399" t="s">
        <v>6</v>
      </c>
      <c r="E2" s="399" t="s">
        <v>208</v>
      </c>
      <c r="F2" s="399" t="s">
        <v>209</v>
      </c>
      <c r="G2" s="399" t="s">
        <v>210</v>
      </c>
      <c r="H2" s="399" t="s">
        <v>211</v>
      </c>
      <c r="I2" s="401"/>
    </row>
    <row r="3">
      <c r="A3" s="402"/>
      <c r="B3" s="403" t="s">
        <v>212</v>
      </c>
      <c r="C3" s="404">
        <v>250000.0</v>
      </c>
      <c r="D3" s="405">
        <v>24.0</v>
      </c>
      <c r="E3" s="406">
        <f t="shared" ref="E3:E20" si="1">C3*D3</f>
        <v>6000000</v>
      </c>
      <c r="F3" s="407"/>
      <c r="G3" s="406">
        <f t="shared" ref="G3:G20" si="2">F3*D3</f>
        <v>0</v>
      </c>
      <c r="H3" s="406">
        <f t="shared" ref="H3:H20" si="3">E3-G3</f>
        <v>6000000</v>
      </c>
      <c r="I3" s="408"/>
    </row>
    <row r="4">
      <c r="A4" s="397"/>
      <c r="B4" s="409" t="s">
        <v>213</v>
      </c>
      <c r="C4" s="404">
        <v>281000.0</v>
      </c>
      <c r="D4" s="405">
        <v>15.0</v>
      </c>
      <c r="E4" s="406">
        <f t="shared" si="1"/>
        <v>4215000</v>
      </c>
      <c r="F4" s="407"/>
      <c r="G4" s="406">
        <f t="shared" si="2"/>
        <v>0</v>
      </c>
      <c r="H4" s="406">
        <f t="shared" si="3"/>
        <v>4215000</v>
      </c>
      <c r="I4" s="408"/>
    </row>
    <row r="5">
      <c r="A5" s="397"/>
      <c r="B5" s="403" t="s">
        <v>214</v>
      </c>
      <c r="C5" s="410">
        <v>225000.0</v>
      </c>
      <c r="D5" s="411">
        <v>15.0</v>
      </c>
      <c r="E5" s="406">
        <f t="shared" si="1"/>
        <v>3375000</v>
      </c>
      <c r="F5" s="407"/>
      <c r="G5" s="406">
        <f t="shared" si="2"/>
        <v>0</v>
      </c>
      <c r="H5" s="406">
        <f t="shared" si="3"/>
        <v>3375000</v>
      </c>
      <c r="I5" s="408"/>
    </row>
    <row r="6">
      <c r="A6" s="397"/>
      <c r="B6" s="409" t="s">
        <v>215</v>
      </c>
      <c r="C6" s="410">
        <v>85000.0</v>
      </c>
      <c r="D6" s="411">
        <v>30.0</v>
      </c>
      <c r="E6" s="406">
        <f t="shared" si="1"/>
        <v>2550000</v>
      </c>
      <c r="F6" s="407"/>
      <c r="G6" s="406">
        <f t="shared" si="2"/>
        <v>0</v>
      </c>
      <c r="H6" s="406">
        <f t="shared" si="3"/>
        <v>2550000</v>
      </c>
      <c r="I6" s="408"/>
    </row>
    <row r="7">
      <c r="A7" s="397"/>
      <c r="B7" s="403" t="s">
        <v>216</v>
      </c>
      <c r="C7" s="410">
        <v>55000.0</v>
      </c>
      <c r="D7" s="411">
        <v>20.0</v>
      </c>
      <c r="E7" s="406">
        <f t="shared" si="1"/>
        <v>1100000</v>
      </c>
      <c r="F7" s="407"/>
      <c r="G7" s="406">
        <f t="shared" si="2"/>
        <v>0</v>
      </c>
      <c r="H7" s="406">
        <f t="shared" si="3"/>
        <v>1100000</v>
      </c>
      <c r="I7" s="408"/>
    </row>
    <row r="8">
      <c r="A8" s="397"/>
      <c r="B8" s="409" t="s">
        <v>217</v>
      </c>
      <c r="C8" s="410">
        <v>75550.0</v>
      </c>
      <c r="D8" s="411">
        <v>20.0</v>
      </c>
      <c r="E8" s="406">
        <f t="shared" si="1"/>
        <v>1511000</v>
      </c>
      <c r="F8" s="407"/>
      <c r="G8" s="406">
        <f t="shared" si="2"/>
        <v>0</v>
      </c>
      <c r="H8" s="406">
        <f t="shared" si="3"/>
        <v>1511000</v>
      </c>
      <c r="I8" s="408"/>
    </row>
    <row r="9">
      <c r="A9" s="397"/>
      <c r="B9" s="403" t="s">
        <v>218</v>
      </c>
      <c r="C9" s="410">
        <v>50000.0</v>
      </c>
      <c r="D9" s="411">
        <v>40.0</v>
      </c>
      <c r="E9" s="406">
        <f t="shared" si="1"/>
        <v>2000000</v>
      </c>
      <c r="F9" s="407"/>
      <c r="G9" s="406">
        <f t="shared" si="2"/>
        <v>0</v>
      </c>
      <c r="H9" s="406">
        <f t="shared" si="3"/>
        <v>2000000</v>
      </c>
      <c r="I9" s="408"/>
    </row>
    <row r="10">
      <c r="A10" s="397"/>
      <c r="B10" s="409" t="s">
        <v>219</v>
      </c>
      <c r="C10" s="410">
        <v>20000.0</v>
      </c>
      <c r="D10" s="411">
        <v>140.0</v>
      </c>
      <c r="E10" s="406">
        <f t="shared" si="1"/>
        <v>2800000</v>
      </c>
      <c r="F10" s="407"/>
      <c r="G10" s="406">
        <f t="shared" si="2"/>
        <v>0</v>
      </c>
      <c r="H10" s="406">
        <f t="shared" si="3"/>
        <v>2800000</v>
      </c>
      <c r="I10" s="408"/>
    </row>
    <row r="11" ht="15.75" customHeight="1">
      <c r="A11" s="397"/>
      <c r="B11" s="403" t="s">
        <v>220</v>
      </c>
      <c r="C11" s="410">
        <v>50000.0</v>
      </c>
      <c r="D11" s="411">
        <v>10.0</v>
      </c>
      <c r="E11" s="406">
        <f t="shared" si="1"/>
        <v>500000</v>
      </c>
      <c r="F11" s="407"/>
      <c r="G11" s="406">
        <f t="shared" si="2"/>
        <v>0</v>
      </c>
      <c r="H11" s="406">
        <f t="shared" si="3"/>
        <v>500000</v>
      </c>
      <c r="I11" s="408"/>
    </row>
    <row r="12" ht="15.75" customHeight="1">
      <c r="A12" s="397"/>
      <c r="B12" s="409" t="s">
        <v>221</v>
      </c>
      <c r="C12" s="410">
        <v>20000.0</v>
      </c>
      <c r="D12" s="411">
        <v>50.0</v>
      </c>
      <c r="E12" s="406">
        <f t="shared" si="1"/>
        <v>1000000</v>
      </c>
      <c r="F12" s="407"/>
      <c r="G12" s="406">
        <f t="shared" si="2"/>
        <v>0</v>
      </c>
      <c r="H12" s="406">
        <f t="shared" si="3"/>
        <v>1000000</v>
      </c>
      <c r="I12" s="408"/>
    </row>
    <row r="13" ht="15.75" customHeight="1">
      <c r="A13" s="397"/>
      <c r="B13" s="403" t="s">
        <v>222</v>
      </c>
      <c r="C13" s="410">
        <v>3000.0</v>
      </c>
      <c r="D13" s="411">
        <v>100.0</v>
      </c>
      <c r="E13" s="406">
        <f t="shared" si="1"/>
        <v>300000</v>
      </c>
      <c r="F13" s="407"/>
      <c r="G13" s="406">
        <f t="shared" si="2"/>
        <v>0</v>
      </c>
      <c r="H13" s="406">
        <f t="shared" si="3"/>
        <v>300000</v>
      </c>
      <c r="I13" s="408"/>
    </row>
    <row r="14">
      <c r="A14" s="397"/>
      <c r="B14" s="409" t="s">
        <v>223</v>
      </c>
      <c r="C14" s="410">
        <v>5000.0</v>
      </c>
      <c r="D14" s="411">
        <v>50.0</v>
      </c>
      <c r="E14" s="406">
        <f t="shared" si="1"/>
        <v>250000</v>
      </c>
      <c r="F14" s="407"/>
      <c r="G14" s="406">
        <f t="shared" si="2"/>
        <v>0</v>
      </c>
      <c r="H14" s="406">
        <f t="shared" si="3"/>
        <v>250000</v>
      </c>
      <c r="I14" s="408"/>
    </row>
    <row r="15" ht="15.75" customHeight="1">
      <c r="A15" s="402"/>
      <c r="B15" s="409" t="s">
        <v>224</v>
      </c>
      <c r="C15" s="410">
        <v>30000.0</v>
      </c>
      <c r="D15" s="411">
        <v>150.0</v>
      </c>
      <c r="E15" s="406">
        <f t="shared" si="1"/>
        <v>4500000</v>
      </c>
      <c r="F15" s="407"/>
      <c r="G15" s="406">
        <f t="shared" si="2"/>
        <v>0</v>
      </c>
      <c r="H15" s="406">
        <f t="shared" si="3"/>
        <v>4500000</v>
      </c>
      <c r="I15" s="408"/>
    </row>
    <row r="16" ht="15.75" customHeight="1">
      <c r="A16" s="402"/>
      <c r="B16" s="409" t="s">
        <v>225</v>
      </c>
      <c r="C16" s="410">
        <v>50000.0</v>
      </c>
      <c r="D16" s="411">
        <v>100.0</v>
      </c>
      <c r="E16" s="406">
        <f t="shared" si="1"/>
        <v>5000000</v>
      </c>
      <c r="F16" s="407"/>
      <c r="G16" s="406">
        <f t="shared" si="2"/>
        <v>0</v>
      </c>
      <c r="H16" s="406">
        <f t="shared" si="3"/>
        <v>5000000</v>
      </c>
      <c r="I16" s="408"/>
    </row>
    <row r="17" ht="15.75" customHeight="1">
      <c r="A17" s="402"/>
      <c r="B17" s="409" t="s">
        <v>226</v>
      </c>
      <c r="C17" s="410">
        <v>15000.0</v>
      </c>
      <c r="D17" s="411">
        <v>50.0</v>
      </c>
      <c r="E17" s="406">
        <f t="shared" si="1"/>
        <v>750000</v>
      </c>
      <c r="F17" s="407"/>
      <c r="G17" s="406">
        <f t="shared" si="2"/>
        <v>0</v>
      </c>
      <c r="H17" s="406">
        <f t="shared" si="3"/>
        <v>750000</v>
      </c>
      <c r="I17" s="408"/>
    </row>
    <row r="18" ht="15.75" customHeight="1">
      <c r="A18" s="402"/>
      <c r="B18" s="409" t="s">
        <v>227</v>
      </c>
      <c r="C18" s="412"/>
      <c r="D18" s="411"/>
      <c r="E18" s="406">
        <f t="shared" si="1"/>
        <v>0</v>
      </c>
      <c r="F18" s="407"/>
      <c r="G18" s="406">
        <f t="shared" si="2"/>
        <v>0</v>
      </c>
      <c r="H18" s="406">
        <f t="shared" si="3"/>
        <v>0</v>
      </c>
      <c r="I18" s="408"/>
    </row>
    <row r="19" ht="15.75" customHeight="1">
      <c r="A19" s="402"/>
      <c r="B19" s="409" t="s">
        <v>228</v>
      </c>
      <c r="C19" s="412"/>
      <c r="D19" s="411"/>
      <c r="E19" s="406">
        <f t="shared" si="1"/>
        <v>0</v>
      </c>
      <c r="F19" s="407"/>
      <c r="G19" s="406">
        <f t="shared" si="2"/>
        <v>0</v>
      </c>
      <c r="H19" s="406">
        <f t="shared" si="3"/>
        <v>0</v>
      </c>
      <c r="I19" s="408"/>
    </row>
    <row r="20" ht="15.75" customHeight="1">
      <c r="A20" s="402"/>
      <c r="B20" s="409" t="s">
        <v>229</v>
      </c>
      <c r="C20" s="412"/>
      <c r="D20" s="411"/>
      <c r="E20" s="406">
        <f t="shared" si="1"/>
        <v>0</v>
      </c>
      <c r="F20" s="407"/>
      <c r="G20" s="406">
        <f t="shared" si="2"/>
        <v>0</v>
      </c>
      <c r="H20" s="406">
        <f t="shared" si="3"/>
        <v>0</v>
      </c>
      <c r="I20" s="408"/>
    </row>
    <row r="21">
      <c r="A21" s="397"/>
      <c r="B21" s="413"/>
      <c r="C21" s="414"/>
      <c r="D21" s="415">
        <f>SUM(D2:D11)</f>
        <v>314</v>
      </c>
      <c r="E21" s="416">
        <f>SUM(E3:E20)</f>
        <v>35851000</v>
      </c>
      <c r="F21" s="417"/>
      <c r="G21" s="418">
        <f t="shared" ref="G21:H21" si="4">SUM(G3:G20)</f>
        <v>0</v>
      </c>
      <c r="H21" s="418">
        <f t="shared" si="4"/>
        <v>35851000</v>
      </c>
      <c r="I21" s="419"/>
    </row>
    <row r="22">
      <c r="A22" s="397"/>
      <c r="B22" s="420"/>
      <c r="C22" s="421"/>
      <c r="D22" s="420"/>
      <c r="E22" s="420"/>
      <c r="F22" s="422"/>
      <c r="G22" s="423"/>
      <c r="H22" s="424"/>
      <c r="I22" s="408"/>
    </row>
    <row r="23">
      <c r="A23" s="397"/>
      <c r="B23" s="425"/>
      <c r="C23" s="421"/>
      <c r="D23" s="420"/>
      <c r="E23" s="420"/>
      <c r="F23" s="422"/>
      <c r="G23" s="426"/>
      <c r="H23" s="420"/>
      <c r="I23" s="397"/>
    </row>
    <row r="24">
      <c r="A24" s="397"/>
      <c r="B24" s="425"/>
      <c r="C24" s="421"/>
      <c r="D24" s="420"/>
      <c r="E24" s="426"/>
      <c r="F24" s="427"/>
      <c r="G24" s="428"/>
      <c r="H24" s="426"/>
      <c r="I24" s="397"/>
    </row>
    <row r="25">
      <c r="A25" s="397"/>
      <c r="B25" s="425"/>
      <c r="C25" s="421"/>
      <c r="D25" s="420"/>
      <c r="E25" s="426"/>
      <c r="F25" s="429"/>
      <c r="G25" s="428"/>
      <c r="H25" s="426"/>
      <c r="I25" s="408"/>
    </row>
    <row r="26">
      <c r="A26" s="397"/>
      <c r="B26" s="420"/>
      <c r="C26" s="421"/>
      <c r="D26" s="420"/>
      <c r="E26" s="420"/>
      <c r="F26" s="422"/>
      <c r="G26" s="428"/>
      <c r="H26" s="420"/>
      <c r="I26" s="408"/>
    </row>
  </sheetData>
  <mergeCells count="3">
    <mergeCell ref="B1:H1"/>
    <mergeCell ref="B21:C21"/>
    <mergeCell ref="F24:F2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2" width="49.71"/>
    <col customWidth="1" min="3" max="3" width="23.57"/>
    <col customWidth="1" min="4" max="4" width="20.71"/>
    <col customWidth="1" min="5" max="5" width="22.86"/>
    <col customWidth="1" min="6" max="6" width="25.14"/>
    <col customWidth="1" min="7" max="7" width="27.71"/>
    <col customWidth="1" min="8" max="8" width="25.14"/>
    <col customWidth="1" min="9" max="9" width="15.29"/>
    <col customWidth="1" min="10" max="10" width="46.71"/>
    <col customWidth="1" min="11" max="11" width="23.57"/>
    <col customWidth="1" hidden="1" min="12" max="12" width="20.71"/>
    <col customWidth="1" min="13" max="14" width="11.71"/>
    <col customWidth="1" min="15" max="15" width="21.71"/>
    <col customWidth="1" min="16" max="16" width="12.57"/>
    <col customWidth="1" min="17" max="18" width="15.29"/>
  </cols>
  <sheetData>
    <row r="1" ht="43.5" customHeight="1">
      <c r="A1" s="397"/>
      <c r="B1" s="430" t="s">
        <v>230</v>
      </c>
      <c r="C1" s="3"/>
      <c r="D1" s="3"/>
      <c r="E1" s="3"/>
      <c r="F1" s="3"/>
      <c r="G1" s="3"/>
      <c r="H1" s="181"/>
      <c r="I1" s="397"/>
      <c r="R1" s="431"/>
    </row>
    <row r="2">
      <c r="A2" s="397"/>
      <c r="B2" s="432" t="s">
        <v>207</v>
      </c>
      <c r="C2" s="433" t="s">
        <v>5</v>
      </c>
      <c r="D2" s="432" t="s">
        <v>6</v>
      </c>
      <c r="E2" s="432" t="s">
        <v>208</v>
      </c>
      <c r="F2" s="432" t="s">
        <v>209</v>
      </c>
      <c r="G2" s="432" t="s">
        <v>210</v>
      </c>
      <c r="H2" s="432" t="s">
        <v>211</v>
      </c>
      <c r="I2" s="434"/>
      <c r="R2" s="435"/>
    </row>
    <row r="3" ht="18.75" customHeight="1">
      <c r="A3" s="402"/>
      <c r="B3" s="436" t="s">
        <v>212</v>
      </c>
      <c r="C3" s="437">
        <v>250000.0</v>
      </c>
      <c r="D3" s="438">
        <v>24.0</v>
      </c>
      <c r="E3" s="406">
        <f t="shared" ref="E3:E20" si="1">C3*D3</f>
        <v>6000000</v>
      </c>
      <c r="F3" s="407">
        <v>65000.0</v>
      </c>
      <c r="G3" s="406">
        <f t="shared" ref="G3:G20" si="2">F3*D3</f>
        <v>1560000</v>
      </c>
      <c r="H3" s="406">
        <f t="shared" ref="H3:H20" si="3">E3-G3</f>
        <v>4440000</v>
      </c>
      <c r="I3" s="439"/>
      <c r="R3" s="440"/>
    </row>
    <row r="4">
      <c r="A4" s="397"/>
      <c r="B4" s="441" t="s">
        <v>213</v>
      </c>
      <c r="C4" s="437">
        <v>281000.0</v>
      </c>
      <c r="D4" s="438">
        <v>15.0</v>
      </c>
      <c r="E4" s="406">
        <f t="shared" si="1"/>
        <v>4215000</v>
      </c>
      <c r="F4" s="407"/>
      <c r="G4" s="406">
        <f t="shared" si="2"/>
        <v>0</v>
      </c>
      <c r="H4" s="406">
        <f t="shared" si="3"/>
        <v>4215000</v>
      </c>
      <c r="I4" s="439"/>
      <c r="R4" s="440"/>
    </row>
    <row r="5">
      <c r="A5" s="397"/>
      <c r="B5" s="436" t="s">
        <v>214</v>
      </c>
      <c r="C5" s="437">
        <v>225000.0</v>
      </c>
      <c r="D5" s="442">
        <v>15.0</v>
      </c>
      <c r="E5" s="406">
        <f t="shared" si="1"/>
        <v>3375000</v>
      </c>
      <c r="F5" s="407"/>
      <c r="G5" s="406">
        <f t="shared" si="2"/>
        <v>0</v>
      </c>
      <c r="H5" s="406">
        <f t="shared" si="3"/>
        <v>3375000</v>
      </c>
      <c r="I5" s="439"/>
      <c r="R5" s="440"/>
    </row>
    <row r="6">
      <c r="A6" s="397"/>
      <c r="B6" s="441" t="s">
        <v>215</v>
      </c>
      <c r="C6" s="437">
        <v>85000.0</v>
      </c>
      <c r="D6" s="442">
        <v>30.0</v>
      </c>
      <c r="E6" s="406">
        <f t="shared" si="1"/>
        <v>2550000</v>
      </c>
      <c r="F6" s="407"/>
      <c r="G6" s="406">
        <f t="shared" si="2"/>
        <v>0</v>
      </c>
      <c r="H6" s="406">
        <f t="shared" si="3"/>
        <v>2550000</v>
      </c>
      <c r="I6" s="439"/>
      <c r="R6" s="440"/>
    </row>
    <row r="7">
      <c r="A7" s="397"/>
      <c r="B7" s="403" t="s">
        <v>216</v>
      </c>
      <c r="C7" s="437">
        <v>55000.0</v>
      </c>
      <c r="D7" s="442">
        <v>20.0</v>
      </c>
      <c r="E7" s="406">
        <f t="shared" si="1"/>
        <v>1100000</v>
      </c>
      <c r="F7" s="407"/>
      <c r="G7" s="406">
        <f t="shared" si="2"/>
        <v>0</v>
      </c>
      <c r="H7" s="406">
        <f t="shared" si="3"/>
        <v>1100000</v>
      </c>
      <c r="I7" s="439"/>
    </row>
    <row r="8">
      <c r="A8" s="397"/>
      <c r="B8" s="443" t="s">
        <v>217</v>
      </c>
      <c r="C8" s="437">
        <v>75550.0</v>
      </c>
      <c r="D8" s="442">
        <v>20.0</v>
      </c>
      <c r="E8" s="406">
        <f t="shared" si="1"/>
        <v>1511000</v>
      </c>
      <c r="F8" s="407"/>
      <c r="G8" s="406">
        <f t="shared" si="2"/>
        <v>0</v>
      </c>
      <c r="H8" s="406">
        <f t="shared" si="3"/>
        <v>1511000</v>
      </c>
      <c r="I8" s="439"/>
    </row>
    <row r="9">
      <c r="A9" s="397"/>
      <c r="B9" s="444" t="s">
        <v>218</v>
      </c>
      <c r="C9" s="437">
        <v>50000.0</v>
      </c>
      <c r="D9" s="442">
        <v>40.0</v>
      </c>
      <c r="E9" s="406">
        <f t="shared" si="1"/>
        <v>2000000</v>
      </c>
      <c r="F9" s="407"/>
      <c r="G9" s="406">
        <f t="shared" si="2"/>
        <v>0</v>
      </c>
      <c r="H9" s="406">
        <f t="shared" si="3"/>
        <v>2000000</v>
      </c>
      <c r="I9" s="439"/>
      <c r="R9" s="440"/>
    </row>
    <row r="10">
      <c r="A10" s="397"/>
      <c r="B10" s="409" t="s">
        <v>219</v>
      </c>
      <c r="C10" s="437">
        <v>20000.0</v>
      </c>
      <c r="D10" s="442">
        <v>140.0</v>
      </c>
      <c r="E10" s="406">
        <f t="shared" si="1"/>
        <v>2800000</v>
      </c>
      <c r="F10" s="407"/>
      <c r="G10" s="406">
        <f t="shared" si="2"/>
        <v>0</v>
      </c>
      <c r="H10" s="406">
        <f t="shared" si="3"/>
        <v>2800000</v>
      </c>
      <c r="I10" s="439"/>
      <c r="R10" s="445"/>
    </row>
    <row r="11">
      <c r="A11" s="397"/>
      <c r="B11" s="403" t="s">
        <v>220</v>
      </c>
      <c r="C11" s="437">
        <v>50000.0</v>
      </c>
      <c r="D11" s="442">
        <v>10.0</v>
      </c>
      <c r="E11" s="406">
        <f t="shared" si="1"/>
        <v>500000</v>
      </c>
      <c r="F11" s="407"/>
      <c r="G11" s="406">
        <f t="shared" si="2"/>
        <v>0</v>
      </c>
      <c r="H11" s="406">
        <f t="shared" si="3"/>
        <v>500000</v>
      </c>
      <c r="I11" s="439"/>
      <c r="R11" s="446"/>
    </row>
    <row r="12">
      <c r="A12" s="397"/>
      <c r="B12" s="409" t="s">
        <v>221</v>
      </c>
      <c r="C12" s="437">
        <v>20000.0</v>
      </c>
      <c r="D12" s="442">
        <v>50.0</v>
      </c>
      <c r="E12" s="406">
        <f t="shared" si="1"/>
        <v>1000000</v>
      </c>
      <c r="F12" s="407"/>
      <c r="G12" s="406">
        <f t="shared" si="2"/>
        <v>0</v>
      </c>
      <c r="H12" s="406">
        <f t="shared" si="3"/>
        <v>1000000</v>
      </c>
      <c r="I12" s="439"/>
      <c r="R12" s="446"/>
    </row>
    <row r="13" ht="15.75" customHeight="1">
      <c r="A13" s="397"/>
      <c r="B13" s="403" t="s">
        <v>222</v>
      </c>
      <c r="C13" s="437">
        <v>3000.0</v>
      </c>
      <c r="D13" s="442">
        <v>100.0</v>
      </c>
      <c r="E13" s="406">
        <f t="shared" si="1"/>
        <v>300000</v>
      </c>
      <c r="F13" s="407"/>
      <c r="G13" s="406">
        <f t="shared" si="2"/>
        <v>0</v>
      </c>
      <c r="H13" s="406">
        <f t="shared" si="3"/>
        <v>300000</v>
      </c>
      <c r="I13" s="439"/>
      <c r="R13" s="446"/>
    </row>
    <row r="14" ht="15.75" customHeight="1">
      <c r="A14" s="397"/>
      <c r="B14" s="409" t="s">
        <v>223</v>
      </c>
      <c r="C14" s="437">
        <v>5000.0</v>
      </c>
      <c r="D14" s="442">
        <v>50.0</v>
      </c>
      <c r="E14" s="406">
        <f t="shared" si="1"/>
        <v>250000</v>
      </c>
      <c r="F14" s="407"/>
      <c r="G14" s="406">
        <f t="shared" si="2"/>
        <v>0</v>
      </c>
      <c r="H14" s="406">
        <f t="shared" si="3"/>
        <v>250000</v>
      </c>
      <c r="I14" s="439"/>
      <c r="R14" s="446"/>
    </row>
    <row r="15" ht="15.75" customHeight="1">
      <c r="A15" s="402"/>
      <c r="B15" s="409" t="s">
        <v>224</v>
      </c>
      <c r="C15" s="437">
        <v>30000.0</v>
      </c>
      <c r="D15" s="442">
        <v>150.0</v>
      </c>
      <c r="E15" s="406">
        <f t="shared" si="1"/>
        <v>4500000</v>
      </c>
      <c r="F15" s="407"/>
      <c r="G15" s="406">
        <f t="shared" si="2"/>
        <v>0</v>
      </c>
      <c r="H15" s="406">
        <f t="shared" si="3"/>
        <v>4500000</v>
      </c>
      <c r="I15" s="439"/>
      <c r="R15" s="446"/>
    </row>
    <row r="16" ht="15.75" customHeight="1">
      <c r="A16" s="402"/>
      <c r="B16" s="443" t="s">
        <v>225</v>
      </c>
      <c r="C16" s="437">
        <v>50000.0</v>
      </c>
      <c r="D16" s="442">
        <v>100.0</v>
      </c>
      <c r="E16" s="406">
        <f t="shared" si="1"/>
        <v>5000000</v>
      </c>
      <c r="F16" s="407"/>
      <c r="G16" s="406">
        <f t="shared" si="2"/>
        <v>0</v>
      </c>
      <c r="H16" s="406">
        <f t="shared" si="3"/>
        <v>5000000</v>
      </c>
      <c r="I16" s="439"/>
      <c r="R16" s="446"/>
    </row>
    <row r="17" ht="15.75" customHeight="1">
      <c r="A17" s="402"/>
      <c r="B17" s="409" t="s">
        <v>226</v>
      </c>
      <c r="C17" s="437">
        <v>15000.0</v>
      </c>
      <c r="D17" s="442">
        <v>50.0</v>
      </c>
      <c r="E17" s="406">
        <f t="shared" si="1"/>
        <v>750000</v>
      </c>
      <c r="F17" s="407"/>
      <c r="G17" s="406">
        <f t="shared" si="2"/>
        <v>0</v>
      </c>
      <c r="H17" s="406">
        <f t="shared" si="3"/>
        <v>750000</v>
      </c>
      <c r="I17" s="439"/>
      <c r="R17" s="446"/>
    </row>
    <row r="18" ht="15.75" customHeight="1">
      <c r="A18" s="402"/>
      <c r="B18" s="409" t="s">
        <v>227</v>
      </c>
      <c r="C18" s="437"/>
      <c r="D18" s="442"/>
      <c r="E18" s="406">
        <f t="shared" si="1"/>
        <v>0</v>
      </c>
      <c r="F18" s="407"/>
      <c r="G18" s="406">
        <f t="shared" si="2"/>
        <v>0</v>
      </c>
      <c r="H18" s="406">
        <f t="shared" si="3"/>
        <v>0</v>
      </c>
      <c r="I18" s="439"/>
      <c r="R18" s="446"/>
    </row>
    <row r="19" ht="15.75" customHeight="1">
      <c r="A19" s="402"/>
      <c r="B19" s="409" t="s">
        <v>228</v>
      </c>
      <c r="C19" s="437"/>
      <c r="D19" s="442"/>
      <c r="E19" s="406">
        <f t="shared" si="1"/>
        <v>0</v>
      </c>
      <c r="F19" s="407"/>
      <c r="G19" s="406">
        <f t="shared" si="2"/>
        <v>0</v>
      </c>
      <c r="H19" s="406">
        <f t="shared" si="3"/>
        <v>0</v>
      </c>
      <c r="I19" s="439"/>
      <c r="R19" s="446"/>
    </row>
    <row r="20" ht="15.75" customHeight="1">
      <c r="A20" s="402"/>
      <c r="B20" s="409" t="s">
        <v>229</v>
      </c>
      <c r="C20" s="437"/>
      <c r="D20" s="442"/>
      <c r="E20" s="406">
        <f t="shared" si="1"/>
        <v>0</v>
      </c>
      <c r="F20" s="407"/>
      <c r="G20" s="406">
        <f t="shared" si="2"/>
        <v>0</v>
      </c>
      <c r="H20" s="406">
        <f t="shared" si="3"/>
        <v>0</v>
      </c>
      <c r="I20" s="439"/>
      <c r="R20" s="446"/>
    </row>
    <row r="21">
      <c r="A21" s="397"/>
      <c r="B21" s="413"/>
      <c r="C21" s="414"/>
      <c r="D21" s="447">
        <f t="shared" ref="D21:E21" si="4">SUM(D3:D20)</f>
        <v>814</v>
      </c>
      <c r="E21" s="416">
        <f t="shared" si="4"/>
        <v>35851000</v>
      </c>
      <c r="F21" s="417"/>
      <c r="G21" s="418">
        <f t="shared" ref="G21:H21" si="5">SUM(G3:G20)</f>
        <v>1560000</v>
      </c>
      <c r="H21" s="418">
        <f t="shared" si="5"/>
        <v>34291000</v>
      </c>
      <c r="I21" s="446"/>
      <c r="R21" s="446"/>
    </row>
    <row r="22">
      <c r="A22" s="397"/>
      <c r="D22" s="420"/>
      <c r="E22" s="420"/>
      <c r="F22" s="422"/>
      <c r="G22" s="423"/>
      <c r="H22" s="424"/>
      <c r="I22" s="448"/>
      <c r="R22" s="446"/>
    </row>
    <row r="23">
      <c r="A23" s="397"/>
      <c r="B23" s="449" t="s">
        <v>231</v>
      </c>
      <c r="E23" s="420"/>
      <c r="F23" s="449" t="s">
        <v>232</v>
      </c>
      <c r="I23" s="450"/>
      <c r="R23" s="451"/>
    </row>
    <row r="24">
      <c r="A24" s="397"/>
      <c r="B24" s="432" t="s">
        <v>207</v>
      </c>
      <c r="C24" s="432" t="s">
        <v>6</v>
      </c>
      <c r="D24" s="452" t="s">
        <v>7</v>
      </c>
      <c r="E24" s="420"/>
      <c r="F24" s="432" t="s">
        <v>207</v>
      </c>
      <c r="G24" s="432" t="s">
        <v>6</v>
      </c>
      <c r="H24" s="452" t="s">
        <v>233</v>
      </c>
      <c r="I24" s="397"/>
      <c r="R24" s="451"/>
    </row>
    <row r="25">
      <c r="A25" s="397"/>
      <c r="B25" s="403" t="s">
        <v>234</v>
      </c>
      <c r="C25" s="438">
        <f>D3+D10</f>
        <v>164</v>
      </c>
      <c r="D25" s="438">
        <f t="shared" ref="D25:D26" si="6">C25</f>
        <v>164</v>
      </c>
      <c r="E25" s="426"/>
      <c r="F25" s="442"/>
      <c r="G25" s="438"/>
      <c r="H25" s="453"/>
      <c r="I25" s="397"/>
      <c r="R25" s="451"/>
    </row>
    <row r="26">
      <c r="A26" s="397"/>
      <c r="B26" s="409"/>
      <c r="C26" s="438">
        <f>D4+D10</f>
        <v>155</v>
      </c>
      <c r="D26" s="438">
        <f t="shared" si="6"/>
        <v>155</v>
      </c>
      <c r="E26" s="426"/>
      <c r="F26" s="442"/>
      <c r="G26" s="438"/>
      <c r="H26" s="406"/>
      <c r="I26" s="408"/>
      <c r="R26" s="446"/>
    </row>
    <row r="27">
      <c r="A27" s="397"/>
      <c r="B27" s="403"/>
      <c r="C27" s="442">
        <f>D5+D10+D11+D12</f>
        <v>215</v>
      </c>
      <c r="D27" s="442">
        <f>C27*4</f>
        <v>860</v>
      </c>
      <c r="E27" s="420"/>
      <c r="F27" s="442"/>
      <c r="G27" s="442"/>
      <c r="H27" s="406"/>
      <c r="I27" s="408"/>
      <c r="R27" s="446"/>
    </row>
    <row r="28">
      <c r="A28" s="451"/>
      <c r="B28" s="409"/>
      <c r="C28" s="442">
        <f>D6+D10+D11+D13</f>
        <v>280</v>
      </c>
      <c r="D28" s="442">
        <f>C28</f>
        <v>280</v>
      </c>
      <c r="E28" s="454"/>
      <c r="F28" s="442"/>
      <c r="G28" s="442"/>
      <c r="H28" s="406"/>
      <c r="I28" s="446"/>
      <c r="R28" s="446"/>
    </row>
    <row r="29">
      <c r="A29" s="451"/>
      <c r="B29" s="403"/>
      <c r="C29" s="442">
        <f>D7+D10+D11+D12+D13</f>
        <v>320</v>
      </c>
      <c r="D29" s="442">
        <f>ROUNDUP(C29/9+2,0)</f>
        <v>38</v>
      </c>
      <c r="E29" s="454"/>
      <c r="G29" s="455">
        <f t="shared" ref="G29:H29" si="7">SUM(G25:G28)</f>
        <v>0</v>
      </c>
      <c r="H29" s="456">
        <f t="shared" si="7"/>
        <v>0</v>
      </c>
      <c r="I29" s="446"/>
      <c r="R29" s="446"/>
    </row>
    <row r="30">
      <c r="A30" s="451"/>
      <c r="B30" s="409"/>
      <c r="C30" s="442">
        <f>D8+D14+D20</f>
        <v>70</v>
      </c>
      <c r="D30" s="442">
        <f>ROUNDUP(C30/9,0) + (5)</f>
        <v>13</v>
      </c>
      <c r="E30" s="454"/>
      <c r="G30" s="457"/>
      <c r="H30" s="457"/>
      <c r="I30" s="458"/>
      <c r="R30" s="446"/>
    </row>
    <row r="31">
      <c r="A31" s="451"/>
      <c r="B31" s="403"/>
      <c r="C31" s="442">
        <f>D9+D14+D20</f>
        <v>90</v>
      </c>
      <c r="D31" s="442">
        <f t="shared" ref="D31:D32" si="8">C31</f>
        <v>90</v>
      </c>
      <c r="E31" s="454"/>
      <c r="G31" s="457"/>
      <c r="H31" s="457"/>
      <c r="I31" s="458"/>
      <c r="R31" s="446"/>
    </row>
    <row r="32">
      <c r="A32" s="451"/>
      <c r="B32" s="409"/>
      <c r="C32" s="442" t="str">
        <f>#REF!+D14</f>
        <v>#REF!</v>
      </c>
      <c r="D32" s="442" t="str">
        <f t="shared" si="8"/>
        <v>#REF!</v>
      </c>
      <c r="E32" s="454"/>
      <c r="F32" s="459"/>
      <c r="G32" s="457"/>
      <c r="H32" s="457"/>
      <c r="I32" s="458"/>
      <c r="R32" s="446"/>
    </row>
    <row r="33">
      <c r="A33" s="451"/>
      <c r="B33" s="454"/>
      <c r="C33" s="447" t="str">
        <f t="shared" ref="C33:D33" si="9">SUM(C24:C32)</f>
        <v>#REF!</v>
      </c>
      <c r="D33" s="447" t="str">
        <f t="shared" si="9"/>
        <v>#REF!</v>
      </c>
      <c r="E33" s="454"/>
      <c r="F33" s="454"/>
      <c r="I33" s="446"/>
      <c r="J33" s="446"/>
      <c r="K33" s="446"/>
      <c r="L33" s="446"/>
      <c r="M33" s="446"/>
      <c r="N33" s="446"/>
      <c r="O33" s="446"/>
      <c r="P33" s="446"/>
      <c r="Q33" s="446"/>
      <c r="R33" s="446"/>
    </row>
    <row r="34">
      <c r="A34" s="451"/>
      <c r="B34" s="454"/>
      <c r="C34" s="454"/>
      <c r="D34" s="454"/>
      <c r="E34" s="454"/>
      <c r="F34" s="460"/>
      <c r="G34" s="461"/>
      <c r="H34" s="454"/>
      <c r="I34" s="446"/>
      <c r="J34" s="446"/>
      <c r="K34" s="446"/>
      <c r="L34" s="446"/>
      <c r="M34" s="446"/>
      <c r="N34" s="446"/>
      <c r="O34" s="446"/>
      <c r="P34" s="446"/>
      <c r="Q34" s="446"/>
      <c r="R34" s="446"/>
    </row>
    <row r="35">
      <c r="A35" s="451"/>
      <c r="B35" s="462" t="s">
        <v>235</v>
      </c>
      <c r="C35" s="3"/>
      <c r="D35" s="3"/>
      <c r="E35" s="3"/>
      <c r="F35" s="3"/>
      <c r="G35" s="3"/>
      <c r="H35" s="3"/>
      <c r="I35" s="181"/>
      <c r="J35" s="446"/>
      <c r="K35" s="446"/>
      <c r="L35" s="446"/>
      <c r="M35" s="446"/>
      <c r="N35" s="446"/>
      <c r="O35" s="446"/>
      <c r="P35" s="446"/>
      <c r="Q35" s="446"/>
      <c r="R35" s="446"/>
    </row>
    <row r="36">
      <c r="A36" s="451"/>
      <c r="B36" s="463" t="s">
        <v>207</v>
      </c>
      <c r="C36" s="464" t="s">
        <v>236</v>
      </c>
      <c r="D36" s="465" t="s">
        <v>237</v>
      </c>
      <c r="E36" s="463" t="s">
        <v>6</v>
      </c>
      <c r="F36" s="465" t="s">
        <v>238</v>
      </c>
      <c r="G36" s="465" t="s">
        <v>239</v>
      </c>
      <c r="H36" s="463" t="s">
        <v>209</v>
      </c>
      <c r="I36" s="466" t="s">
        <v>210</v>
      </c>
      <c r="J36" s="446"/>
      <c r="K36" s="446"/>
      <c r="L36" s="446"/>
      <c r="M36" s="446"/>
      <c r="N36" s="446"/>
      <c r="O36" s="446"/>
      <c r="P36" s="446"/>
      <c r="Q36" s="446"/>
      <c r="R36" s="446"/>
    </row>
    <row r="37">
      <c r="A37" s="451"/>
      <c r="B37" s="467" t="s">
        <v>212</v>
      </c>
      <c r="C37" s="468"/>
      <c r="D37" s="469">
        <v>1.0</v>
      </c>
      <c r="E37" s="470"/>
      <c r="F37" s="469">
        <f t="shared" ref="F37:F55" si="10"> (D37*E37)</f>
        <v>0</v>
      </c>
      <c r="G37" s="471">
        <v>0.0</v>
      </c>
      <c r="H37" s="472"/>
      <c r="I37" s="473">
        <f t="shared" ref="I37:I55" si="11">C37*E37+G37</f>
        <v>0</v>
      </c>
      <c r="J37" s="446"/>
      <c r="K37" s="446"/>
      <c r="L37" s="446"/>
      <c r="M37" s="446"/>
      <c r="N37" s="446"/>
      <c r="O37" s="446"/>
      <c r="P37" s="446"/>
      <c r="Q37" s="446"/>
      <c r="R37" s="446"/>
    </row>
    <row r="38">
      <c r="A38" s="451"/>
      <c r="B38" s="474" t="s">
        <v>213</v>
      </c>
      <c r="C38" s="468">
        <v>120000.0</v>
      </c>
      <c r="D38" s="469">
        <v>1.0</v>
      </c>
      <c r="E38" s="470">
        <v>20.0</v>
      </c>
      <c r="F38" s="469">
        <f t="shared" si="10"/>
        <v>20</v>
      </c>
      <c r="G38" s="471">
        <v>30000.0</v>
      </c>
      <c r="H38" s="472">
        <f t="shared" ref="H38:H55" si="12">I38/F38</f>
        <v>121500</v>
      </c>
      <c r="I38" s="473">
        <f t="shared" si="11"/>
        <v>2430000</v>
      </c>
      <c r="J38" s="446"/>
      <c r="K38" s="446"/>
      <c r="L38" s="446"/>
      <c r="M38" s="446"/>
      <c r="N38" s="446"/>
      <c r="O38" s="446"/>
      <c r="P38" s="446"/>
      <c r="Q38" s="446"/>
      <c r="R38" s="446"/>
    </row>
    <row r="39">
      <c r="A39" s="451"/>
      <c r="B39" s="467" t="s">
        <v>214</v>
      </c>
      <c r="C39" s="468"/>
      <c r="D39" s="469">
        <v>1.0</v>
      </c>
      <c r="E39" s="470"/>
      <c r="F39" s="469">
        <f t="shared" si="10"/>
        <v>0</v>
      </c>
      <c r="G39" s="471">
        <v>0.0</v>
      </c>
      <c r="H39" s="472" t="str">
        <f t="shared" si="12"/>
        <v>#DIV/0!</v>
      </c>
      <c r="I39" s="473">
        <f t="shared" si="11"/>
        <v>0</v>
      </c>
      <c r="J39" s="446"/>
      <c r="K39" s="446"/>
      <c r="L39" s="446"/>
      <c r="M39" s="446"/>
      <c r="N39" s="446"/>
      <c r="O39" s="446"/>
      <c r="P39" s="446"/>
      <c r="Q39" s="446"/>
      <c r="R39" s="446"/>
    </row>
    <row r="40">
      <c r="A40" s="451"/>
      <c r="B40" s="474" t="s">
        <v>215</v>
      </c>
      <c r="C40" s="468"/>
      <c r="D40" s="469">
        <v>1.0</v>
      </c>
      <c r="E40" s="470" t="s">
        <v>240</v>
      </c>
      <c r="F40" s="469" t="str">
        <f t="shared" si="10"/>
        <v>#VALUE!</v>
      </c>
      <c r="G40" s="471">
        <v>0.0</v>
      </c>
      <c r="H40" s="472" t="str">
        <f t="shared" si="12"/>
        <v>#VALUE!</v>
      </c>
      <c r="I40" s="473" t="str">
        <f t="shared" si="11"/>
        <v>#VALUE!</v>
      </c>
      <c r="J40" s="446"/>
      <c r="K40" s="446"/>
      <c r="L40" s="446"/>
      <c r="M40" s="446"/>
      <c r="N40" s="446"/>
      <c r="O40" s="446"/>
      <c r="P40" s="446"/>
      <c r="Q40" s="446"/>
      <c r="R40" s="446"/>
    </row>
    <row r="41">
      <c r="A41" s="451"/>
      <c r="B41" s="467" t="s">
        <v>216</v>
      </c>
      <c r="C41" s="468"/>
      <c r="D41" s="469">
        <v>1.0</v>
      </c>
      <c r="E41" s="470"/>
      <c r="F41" s="469">
        <f t="shared" si="10"/>
        <v>0</v>
      </c>
      <c r="G41" s="471">
        <v>0.0</v>
      </c>
      <c r="H41" s="472" t="str">
        <f t="shared" si="12"/>
        <v>#DIV/0!</v>
      </c>
      <c r="I41" s="473">
        <f t="shared" si="11"/>
        <v>0</v>
      </c>
      <c r="J41" s="446"/>
      <c r="K41" s="446"/>
      <c r="L41" s="446"/>
      <c r="M41" s="446"/>
      <c r="N41" s="446"/>
      <c r="O41" s="446"/>
      <c r="P41" s="446"/>
      <c r="Q41" s="446"/>
      <c r="R41" s="446"/>
    </row>
    <row r="42">
      <c r="A42" s="451"/>
      <c r="B42" s="474" t="s">
        <v>217</v>
      </c>
      <c r="C42" s="468"/>
      <c r="D42" s="469">
        <v>1.0</v>
      </c>
      <c r="E42" s="470"/>
      <c r="F42" s="469">
        <f t="shared" si="10"/>
        <v>0</v>
      </c>
      <c r="G42" s="471">
        <v>0.0</v>
      </c>
      <c r="H42" s="472" t="str">
        <f t="shared" si="12"/>
        <v>#DIV/0!</v>
      </c>
      <c r="I42" s="473">
        <f t="shared" si="11"/>
        <v>0</v>
      </c>
      <c r="J42" s="446"/>
      <c r="K42" s="446"/>
      <c r="L42" s="446"/>
      <c r="M42" s="446"/>
      <c r="N42" s="446"/>
      <c r="O42" s="446"/>
      <c r="P42" s="446"/>
      <c r="Q42" s="446"/>
      <c r="R42" s="446"/>
    </row>
    <row r="43">
      <c r="A43" s="451"/>
      <c r="B43" s="467" t="s">
        <v>218</v>
      </c>
      <c r="C43" s="468"/>
      <c r="D43" s="469">
        <v>1.0</v>
      </c>
      <c r="E43" s="470"/>
      <c r="F43" s="469">
        <f t="shared" si="10"/>
        <v>0</v>
      </c>
      <c r="G43" s="471">
        <v>0.0</v>
      </c>
      <c r="H43" s="472" t="str">
        <f t="shared" si="12"/>
        <v>#DIV/0!</v>
      </c>
      <c r="I43" s="473">
        <f t="shared" si="11"/>
        <v>0</v>
      </c>
      <c r="J43" s="446"/>
      <c r="K43" s="446"/>
      <c r="L43" s="446"/>
      <c r="M43" s="446"/>
      <c r="N43" s="446"/>
      <c r="O43" s="446"/>
      <c r="P43" s="446"/>
      <c r="Q43" s="446"/>
      <c r="R43" s="446"/>
    </row>
    <row r="44">
      <c r="A44" s="451"/>
      <c r="B44" s="474" t="s">
        <v>219</v>
      </c>
      <c r="C44" s="468"/>
      <c r="D44" s="469">
        <v>1.0</v>
      </c>
      <c r="E44" s="470"/>
      <c r="F44" s="469">
        <f t="shared" si="10"/>
        <v>0</v>
      </c>
      <c r="G44" s="471" t="s">
        <v>241</v>
      </c>
      <c r="H44" s="472" t="str">
        <f t="shared" si="12"/>
        <v>#VALUE!</v>
      </c>
      <c r="I44" s="473" t="str">
        <f t="shared" si="11"/>
        <v>#VALUE!</v>
      </c>
      <c r="J44" s="446"/>
      <c r="K44" s="446"/>
      <c r="L44" s="446"/>
      <c r="M44" s="446"/>
      <c r="N44" s="446"/>
      <c r="O44" s="446"/>
      <c r="P44" s="446"/>
      <c r="Q44" s="446"/>
      <c r="R44" s="446"/>
    </row>
    <row r="45">
      <c r="A45" s="451"/>
      <c r="B45" s="467" t="s">
        <v>220</v>
      </c>
      <c r="C45" s="468"/>
      <c r="D45" s="469">
        <v>1.0</v>
      </c>
      <c r="E45" s="470"/>
      <c r="F45" s="469">
        <f t="shared" si="10"/>
        <v>0</v>
      </c>
      <c r="G45" s="471">
        <v>0.0</v>
      </c>
      <c r="H45" s="472" t="str">
        <f t="shared" si="12"/>
        <v>#DIV/0!</v>
      </c>
      <c r="I45" s="473">
        <f t="shared" si="11"/>
        <v>0</v>
      </c>
      <c r="J45" s="446"/>
      <c r="K45" s="446"/>
      <c r="L45" s="446"/>
      <c r="M45" s="446"/>
      <c r="N45" s="446"/>
      <c r="O45" s="446"/>
      <c r="P45" s="446"/>
      <c r="Q45" s="446"/>
      <c r="R45" s="446"/>
    </row>
    <row r="46">
      <c r="A46" s="451"/>
      <c r="B46" s="474" t="s">
        <v>242</v>
      </c>
      <c r="C46" s="468"/>
      <c r="D46" s="469">
        <v>1.0</v>
      </c>
      <c r="E46" s="470"/>
      <c r="F46" s="469">
        <f t="shared" si="10"/>
        <v>0</v>
      </c>
      <c r="G46" s="471">
        <v>0.0</v>
      </c>
      <c r="H46" s="472" t="str">
        <f t="shared" si="12"/>
        <v>#DIV/0!</v>
      </c>
      <c r="I46" s="473">
        <f t="shared" si="11"/>
        <v>0</v>
      </c>
      <c r="J46" s="446"/>
      <c r="K46" s="446"/>
      <c r="L46" s="446"/>
      <c r="M46" s="446"/>
      <c r="N46" s="446"/>
      <c r="O46" s="446"/>
      <c r="P46" s="446"/>
      <c r="Q46" s="446"/>
      <c r="R46" s="446"/>
    </row>
    <row r="47">
      <c r="A47" s="451"/>
      <c r="B47" s="474" t="s">
        <v>222</v>
      </c>
      <c r="C47" s="468"/>
      <c r="D47" s="469">
        <v>1.0</v>
      </c>
      <c r="E47" s="470"/>
      <c r="F47" s="469">
        <f t="shared" si="10"/>
        <v>0</v>
      </c>
      <c r="G47" s="471">
        <v>0.0</v>
      </c>
      <c r="H47" s="472" t="str">
        <f t="shared" si="12"/>
        <v>#DIV/0!</v>
      </c>
      <c r="I47" s="473">
        <f t="shared" si="11"/>
        <v>0</v>
      </c>
      <c r="J47" s="446"/>
      <c r="K47" s="446"/>
      <c r="L47" s="446"/>
      <c r="M47" s="446"/>
      <c r="N47" s="446"/>
      <c r="O47" s="446"/>
      <c r="P47" s="446"/>
      <c r="Q47" s="446"/>
      <c r="R47" s="446"/>
    </row>
    <row r="48">
      <c r="A48" s="451"/>
      <c r="B48" s="474" t="s">
        <v>223</v>
      </c>
      <c r="C48" s="468"/>
      <c r="D48" s="469">
        <v>1.0</v>
      </c>
      <c r="E48" s="470"/>
      <c r="F48" s="469">
        <f t="shared" si="10"/>
        <v>0</v>
      </c>
      <c r="G48" s="471">
        <v>0.0</v>
      </c>
      <c r="H48" s="472" t="str">
        <f t="shared" si="12"/>
        <v>#DIV/0!</v>
      </c>
      <c r="I48" s="473">
        <f t="shared" si="11"/>
        <v>0</v>
      </c>
      <c r="J48" s="446"/>
      <c r="K48" s="446"/>
      <c r="L48" s="446"/>
      <c r="M48" s="446"/>
      <c r="N48" s="446"/>
      <c r="O48" s="446"/>
      <c r="P48" s="446"/>
      <c r="Q48" s="446"/>
      <c r="R48" s="446"/>
    </row>
    <row r="49">
      <c r="A49" s="451"/>
      <c r="B49" s="474" t="s">
        <v>224</v>
      </c>
      <c r="C49" s="468"/>
      <c r="D49" s="469">
        <v>1.0</v>
      </c>
      <c r="E49" s="470"/>
      <c r="F49" s="469">
        <f t="shared" si="10"/>
        <v>0</v>
      </c>
      <c r="G49" s="471">
        <v>0.0</v>
      </c>
      <c r="H49" s="472" t="str">
        <f t="shared" si="12"/>
        <v>#DIV/0!</v>
      </c>
      <c r="I49" s="473">
        <f t="shared" si="11"/>
        <v>0</v>
      </c>
      <c r="J49" s="446"/>
      <c r="K49" s="446"/>
      <c r="L49" s="446"/>
      <c r="M49" s="446"/>
      <c r="N49" s="446"/>
      <c r="O49" s="446"/>
      <c r="P49" s="446"/>
      <c r="Q49" s="446"/>
      <c r="R49" s="446"/>
    </row>
    <row r="50">
      <c r="A50" s="451"/>
      <c r="B50" s="474" t="s">
        <v>225</v>
      </c>
      <c r="C50" s="468"/>
      <c r="D50" s="469">
        <v>1.0</v>
      </c>
      <c r="E50" s="470"/>
      <c r="F50" s="469">
        <f t="shared" si="10"/>
        <v>0</v>
      </c>
      <c r="G50" s="471">
        <v>0.0</v>
      </c>
      <c r="H50" s="472" t="str">
        <f t="shared" si="12"/>
        <v>#DIV/0!</v>
      </c>
      <c r="I50" s="473">
        <f t="shared" si="11"/>
        <v>0</v>
      </c>
      <c r="J50" s="446"/>
      <c r="K50" s="446"/>
      <c r="L50" s="446"/>
      <c r="M50" s="446"/>
      <c r="N50" s="446"/>
      <c r="O50" s="446"/>
      <c r="P50" s="446"/>
      <c r="Q50" s="446"/>
      <c r="R50" s="446"/>
    </row>
    <row r="51">
      <c r="A51" s="451"/>
      <c r="B51" s="474" t="s">
        <v>226</v>
      </c>
      <c r="C51" s="468"/>
      <c r="D51" s="469">
        <v>1.0</v>
      </c>
      <c r="E51" s="470"/>
      <c r="F51" s="469">
        <f t="shared" si="10"/>
        <v>0</v>
      </c>
      <c r="G51" s="471">
        <v>0.0</v>
      </c>
      <c r="H51" s="472" t="str">
        <f t="shared" si="12"/>
        <v>#DIV/0!</v>
      </c>
      <c r="I51" s="473">
        <f t="shared" si="11"/>
        <v>0</v>
      </c>
      <c r="J51" s="446"/>
      <c r="K51" s="446"/>
      <c r="L51" s="446"/>
      <c r="M51" s="446"/>
      <c r="N51" s="446"/>
      <c r="O51" s="446"/>
      <c r="P51" s="446"/>
      <c r="Q51" s="446"/>
      <c r="R51" s="446"/>
    </row>
    <row r="52">
      <c r="A52" s="451"/>
      <c r="B52" s="474" t="s">
        <v>228</v>
      </c>
      <c r="C52" s="468"/>
      <c r="D52" s="469">
        <v>1.0</v>
      </c>
      <c r="E52" s="470"/>
      <c r="F52" s="469">
        <f t="shared" si="10"/>
        <v>0</v>
      </c>
      <c r="G52" s="471">
        <v>0.0</v>
      </c>
      <c r="H52" s="472" t="str">
        <f t="shared" si="12"/>
        <v>#DIV/0!</v>
      </c>
      <c r="I52" s="473">
        <f t="shared" si="11"/>
        <v>0</v>
      </c>
      <c r="J52" s="446"/>
      <c r="K52" s="446"/>
      <c r="L52" s="446"/>
      <c r="M52" s="446"/>
      <c r="N52" s="446"/>
      <c r="O52" s="446"/>
      <c r="P52" s="446"/>
      <c r="Q52" s="446"/>
      <c r="R52" s="446"/>
    </row>
    <row r="53">
      <c r="A53" s="451"/>
      <c r="B53" s="474" t="s">
        <v>227</v>
      </c>
      <c r="C53" s="468"/>
      <c r="D53" s="469">
        <v>1.0</v>
      </c>
      <c r="E53" s="470"/>
      <c r="F53" s="469">
        <f t="shared" si="10"/>
        <v>0</v>
      </c>
      <c r="G53" s="471">
        <v>0.0</v>
      </c>
      <c r="H53" s="472" t="str">
        <f t="shared" si="12"/>
        <v>#DIV/0!</v>
      </c>
      <c r="I53" s="473">
        <f t="shared" si="11"/>
        <v>0</v>
      </c>
      <c r="J53" s="446"/>
      <c r="K53" s="446"/>
      <c r="L53" s="446"/>
      <c r="M53" s="446"/>
      <c r="N53" s="446"/>
      <c r="O53" s="446"/>
      <c r="P53" s="446"/>
      <c r="Q53" s="446"/>
      <c r="R53" s="446"/>
    </row>
    <row r="54">
      <c r="A54" s="451"/>
      <c r="B54" s="474" t="s">
        <v>229</v>
      </c>
      <c r="C54" s="468"/>
      <c r="D54" s="469">
        <v>1.0</v>
      </c>
      <c r="E54" s="470"/>
      <c r="F54" s="469">
        <f t="shared" si="10"/>
        <v>0</v>
      </c>
      <c r="G54" s="471">
        <v>0.0</v>
      </c>
      <c r="H54" s="472" t="str">
        <f t="shared" si="12"/>
        <v>#DIV/0!</v>
      </c>
      <c r="I54" s="473">
        <f t="shared" si="11"/>
        <v>0</v>
      </c>
      <c r="J54" s="446"/>
      <c r="K54" s="446"/>
      <c r="L54" s="446"/>
      <c r="M54" s="446"/>
      <c r="N54" s="446"/>
      <c r="O54" s="446"/>
      <c r="P54" s="446"/>
      <c r="Q54" s="446"/>
      <c r="R54" s="446"/>
    </row>
    <row r="55">
      <c r="A55" s="451"/>
      <c r="B55" s="474"/>
      <c r="C55" s="468"/>
      <c r="D55" s="470"/>
      <c r="E55" s="470"/>
      <c r="F55" s="469">
        <f t="shared" si="10"/>
        <v>0</v>
      </c>
      <c r="G55" s="471">
        <v>0.0</v>
      </c>
      <c r="H55" s="472" t="str">
        <f t="shared" si="12"/>
        <v>#DIV/0!</v>
      </c>
      <c r="I55" s="473">
        <f t="shared" si="11"/>
        <v>0</v>
      </c>
      <c r="J55" s="446"/>
      <c r="K55" s="446"/>
      <c r="L55" s="446"/>
      <c r="M55" s="446"/>
      <c r="N55" s="446"/>
      <c r="O55" s="446"/>
      <c r="P55" s="446"/>
      <c r="Q55" s="446"/>
      <c r="R55" s="446"/>
    </row>
    <row r="56">
      <c r="A56" s="451"/>
      <c r="B56" s="475"/>
      <c r="C56" s="414"/>
      <c r="D56" s="476"/>
      <c r="E56" s="477">
        <f>SUM(E37:E40,E42:E55)</f>
        <v>20</v>
      </c>
      <c r="F56" s="478" t="str">
        <f t="shared" ref="F56:G56" si="13">SUM(F37:F55)</f>
        <v>#VALUE!</v>
      </c>
      <c r="G56" s="479">
        <f t="shared" si="13"/>
        <v>30000</v>
      </c>
      <c r="H56" s="480"/>
      <c r="I56" s="481" t="str">
        <f>SUM(I37:I55)</f>
        <v>#VALUE!</v>
      </c>
      <c r="J56" s="446"/>
      <c r="K56" s="446"/>
      <c r="L56" s="446"/>
      <c r="M56" s="446"/>
      <c r="N56" s="446"/>
      <c r="O56" s="446"/>
      <c r="P56" s="446"/>
      <c r="Q56" s="446"/>
      <c r="R56" s="446"/>
    </row>
    <row r="57">
      <c r="A57" s="451"/>
      <c r="B57" s="408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</row>
    <row r="58">
      <c r="A58" s="451"/>
      <c r="B58" s="482"/>
      <c r="C58" s="482"/>
      <c r="D58" s="482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</row>
    <row r="59">
      <c r="A59" s="451"/>
      <c r="B59" s="482"/>
      <c r="C59" s="482"/>
      <c r="D59" s="482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</row>
    <row r="60">
      <c r="A60" s="451"/>
      <c r="B60" s="482"/>
      <c r="C60" s="482"/>
      <c r="D60" s="482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</row>
    <row r="61">
      <c r="A61" s="451"/>
      <c r="B61" s="482"/>
      <c r="C61" s="482"/>
      <c r="D61" s="482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</row>
    <row r="62">
      <c r="A62" s="451"/>
      <c r="B62" s="482"/>
      <c r="C62" s="482"/>
      <c r="D62" s="482"/>
      <c r="E62" s="446"/>
      <c r="F62" s="446"/>
      <c r="G62" s="483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</row>
    <row r="63">
      <c r="A63" s="451"/>
      <c r="B63" s="482"/>
      <c r="C63" s="482"/>
      <c r="D63" s="482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</row>
    <row r="64">
      <c r="A64" s="451"/>
      <c r="B64" s="482"/>
      <c r="C64" s="482"/>
      <c r="D64" s="482"/>
      <c r="E64" s="451"/>
      <c r="F64" s="451"/>
      <c r="G64" s="451"/>
      <c r="H64" s="451"/>
      <c r="I64" s="451"/>
      <c r="J64" s="446"/>
      <c r="K64" s="446"/>
      <c r="L64" s="446"/>
      <c r="M64" s="446"/>
      <c r="N64" s="446"/>
      <c r="O64" s="446"/>
      <c r="P64" s="446"/>
      <c r="Q64" s="446"/>
      <c r="R64" s="446"/>
    </row>
    <row r="65">
      <c r="A65" s="451"/>
      <c r="B65" s="482"/>
      <c r="C65" s="482"/>
      <c r="D65" s="482"/>
      <c r="E65" s="451"/>
      <c r="F65" s="484"/>
      <c r="G65" s="451"/>
      <c r="H65" s="451"/>
      <c r="I65" s="451"/>
      <c r="J65" s="446"/>
      <c r="K65" s="446"/>
      <c r="L65" s="446"/>
      <c r="M65" s="446"/>
      <c r="N65" s="446"/>
      <c r="O65" s="446"/>
      <c r="P65" s="446"/>
      <c r="Q65" s="446"/>
      <c r="R65" s="446"/>
    </row>
    <row r="66">
      <c r="A66" s="451"/>
      <c r="B66" s="482"/>
      <c r="C66" s="482"/>
      <c r="D66" s="482"/>
      <c r="E66" s="446"/>
      <c r="F66" s="484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</row>
    <row r="67">
      <c r="A67" s="451"/>
      <c r="B67" s="482"/>
      <c r="C67" s="482"/>
      <c r="D67" s="482"/>
      <c r="E67" s="446"/>
      <c r="F67" s="484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</row>
    <row r="68">
      <c r="A68" s="451"/>
      <c r="B68" s="482"/>
      <c r="C68" s="482"/>
      <c r="D68" s="482"/>
      <c r="E68" s="446"/>
      <c r="F68" s="484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</row>
    <row r="69">
      <c r="A69" s="451"/>
      <c r="B69" s="482"/>
      <c r="C69" s="482"/>
      <c r="D69" s="482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</row>
    <row r="70">
      <c r="A70" s="451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</row>
    <row r="71">
      <c r="A71" s="451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</row>
    <row r="72">
      <c r="A72" s="451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</row>
  </sheetData>
  <mergeCells count="6">
    <mergeCell ref="B1:H1"/>
    <mergeCell ref="B21:C21"/>
    <mergeCell ref="B23:D23"/>
    <mergeCell ref="F23:H23"/>
    <mergeCell ref="B35:I35"/>
    <mergeCell ref="B56:C56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C47C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71"/>
    <col customWidth="1" min="2" max="3" width="15.14"/>
    <col customWidth="1" min="4" max="5" width="30.86"/>
    <col customWidth="1" min="6" max="6" width="17.0"/>
    <col customWidth="1" min="7" max="7" width="18.0"/>
    <col customWidth="1" min="8" max="8" width="16.29"/>
    <col customWidth="1" min="9" max="9" width="24.29"/>
    <col customWidth="1" min="12" max="12" width="5.57"/>
  </cols>
  <sheetData>
    <row r="1" ht="32.25" customHeight="1">
      <c r="A1" s="485"/>
      <c r="B1" s="486" t="s">
        <v>243</v>
      </c>
      <c r="L1" s="485"/>
    </row>
    <row r="2" ht="8.25" customHeight="1">
      <c r="A2" s="487"/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</row>
    <row r="3">
      <c r="A3" s="488"/>
      <c r="B3" s="489"/>
      <c r="C3" s="489"/>
      <c r="D3" s="489"/>
      <c r="E3" s="489"/>
      <c r="F3" s="489"/>
      <c r="G3" s="489"/>
      <c r="H3" s="490"/>
      <c r="I3" s="491">
        <f>SUMIF($J$7:$J$597, "paid", $I$7:$I$597)
</f>
        <v>0</v>
      </c>
      <c r="J3" s="492">
        <f>COUNTIF($J$7:$J$597, "paid")
</f>
        <v>0</v>
      </c>
      <c r="K3" s="487"/>
      <c r="L3" s="487"/>
    </row>
    <row r="4">
      <c r="A4" s="493"/>
      <c r="B4" s="494"/>
      <c r="C4" s="494"/>
      <c r="D4" s="494"/>
      <c r="E4" s="494"/>
      <c r="F4" s="494"/>
      <c r="G4" s="494"/>
      <c r="H4" s="495"/>
      <c r="I4" s="496">
        <f>SUMIF($J$7:$J$597, "unpaid", I7:I597)
</f>
        <v>0</v>
      </c>
      <c r="J4" s="497">
        <f>COUNTIF($J$7:$J$597, "unpaid")
</f>
        <v>0</v>
      </c>
      <c r="K4" s="487"/>
      <c r="L4" s="487"/>
    </row>
    <row r="5" ht="6.75" customHeight="1">
      <c r="A5" s="487"/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87"/>
    </row>
    <row r="6" ht="36.0" customHeight="1">
      <c r="A6" s="499"/>
      <c r="B6" s="500" t="s">
        <v>244</v>
      </c>
      <c r="C6" s="500" t="s">
        <v>245</v>
      </c>
      <c r="D6" s="186" t="s">
        <v>246</v>
      </c>
      <c r="E6" s="186" t="s">
        <v>190</v>
      </c>
      <c r="F6" s="186" t="s">
        <v>247</v>
      </c>
      <c r="G6" s="501" t="s">
        <v>248</v>
      </c>
      <c r="H6" s="502" t="s">
        <v>249</v>
      </c>
      <c r="I6" s="501" t="s">
        <v>250</v>
      </c>
      <c r="J6" s="501" t="s">
        <v>251</v>
      </c>
      <c r="K6" s="500" t="s">
        <v>252</v>
      </c>
      <c r="L6" s="503"/>
    </row>
    <row r="7">
      <c r="A7" s="499"/>
      <c r="B7" s="504"/>
      <c r="C7" s="504"/>
      <c r="D7" s="505"/>
      <c r="E7" s="505"/>
      <c r="F7" s="506"/>
      <c r="G7" s="507"/>
      <c r="H7" s="508"/>
      <c r="I7" s="509"/>
      <c r="J7" s="505"/>
      <c r="K7" s="504"/>
      <c r="L7" s="503"/>
    </row>
    <row r="8">
      <c r="A8" s="499"/>
      <c r="B8" s="504"/>
      <c r="C8" s="504"/>
      <c r="D8" s="504"/>
      <c r="E8" s="505"/>
      <c r="F8" s="505"/>
      <c r="G8" s="507"/>
      <c r="H8" s="508"/>
      <c r="I8" s="509"/>
      <c r="J8" s="505"/>
      <c r="K8" s="510"/>
      <c r="L8" s="503"/>
    </row>
    <row r="9">
      <c r="A9" s="499"/>
      <c r="B9" s="504"/>
      <c r="C9" s="504"/>
      <c r="D9" s="504"/>
      <c r="E9" s="505"/>
      <c r="F9" s="505"/>
      <c r="G9" s="507"/>
      <c r="H9" s="508"/>
      <c r="I9" s="509"/>
      <c r="J9" s="505"/>
      <c r="K9" s="510"/>
      <c r="L9" s="503"/>
    </row>
    <row r="10">
      <c r="A10" s="499"/>
      <c r="B10" s="504"/>
      <c r="C10" s="504"/>
      <c r="D10" s="504"/>
      <c r="E10" s="511"/>
      <c r="F10" s="505"/>
      <c r="G10" s="507"/>
      <c r="H10" s="508"/>
      <c r="I10" s="509"/>
      <c r="J10" s="505"/>
      <c r="K10" s="510"/>
      <c r="L10" s="503"/>
    </row>
    <row r="11">
      <c r="A11" s="499"/>
      <c r="B11" s="504"/>
      <c r="C11" s="504"/>
      <c r="D11" s="504"/>
      <c r="E11" s="511"/>
      <c r="F11" s="505"/>
      <c r="G11" s="507"/>
      <c r="H11" s="508"/>
      <c r="I11" s="509"/>
      <c r="J11" s="505"/>
      <c r="K11" s="510"/>
      <c r="L11" s="503"/>
    </row>
    <row r="12">
      <c r="A12" s="499"/>
      <c r="B12" s="504"/>
      <c r="C12" s="504"/>
      <c r="D12" s="504"/>
      <c r="E12" s="511"/>
      <c r="F12" s="505"/>
      <c r="G12" s="507"/>
      <c r="H12" s="508"/>
      <c r="I12" s="509"/>
      <c r="J12" s="505"/>
      <c r="K12" s="510"/>
      <c r="L12" s="503"/>
    </row>
    <row r="13">
      <c r="A13" s="499"/>
      <c r="B13" s="504"/>
      <c r="C13" s="505"/>
      <c r="D13" s="504"/>
      <c r="E13" s="511"/>
      <c r="F13" s="505"/>
      <c r="G13" s="507"/>
      <c r="H13" s="512"/>
      <c r="I13" s="509"/>
      <c r="J13" s="505"/>
      <c r="K13" s="510"/>
      <c r="L13" s="503"/>
    </row>
    <row r="14">
      <c r="A14" s="499"/>
      <c r="B14" s="504"/>
      <c r="C14" s="513"/>
      <c r="D14" s="504"/>
      <c r="E14" s="505"/>
      <c r="F14" s="505"/>
      <c r="G14" s="507"/>
      <c r="H14" s="508"/>
      <c r="I14" s="509"/>
      <c r="J14" s="505"/>
      <c r="K14" s="510"/>
      <c r="L14" s="503"/>
    </row>
    <row r="15">
      <c r="A15" s="499"/>
      <c r="B15" s="504"/>
      <c r="C15" s="513"/>
      <c r="D15" s="504"/>
      <c r="E15" s="505"/>
      <c r="F15" s="505"/>
      <c r="G15" s="507"/>
      <c r="H15" s="508"/>
      <c r="I15" s="514"/>
      <c r="J15" s="505"/>
      <c r="K15" s="510"/>
      <c r="L15" s="503"/>
    </row>
    <row r="16">
      <c r="A16" s="499"/>
      <c r="B16" s="505"/>
      <c r="C16" s="505"/>
      <c r="D16" s="504"/>
      <c r="E16" s="505"/>
      <c r="F16" s="505"/>
      <c r="G16" s="507"/>
      <c r="H16" s="508"/>
      <c r="I16" s="514"/>
      <c r="J16" s="505"/>
      <c r="K16" s="510"/>
      <c r="L16" s="503"/>
    </row>
    <row r="17">
      <c r="A17" s="499"/>
      <c r="B17" s="510"/>
      <c r="C17" s="510"/>
      <c r="D17" s="510"/>
      <c r="E17" s="510"/>
      <c r="F17" s="505"/>
      <c r="G17" s="507"/>
      <c r="H17" s="508"/>
      <c r="I17" s="510"/>
      <c r="J17" s="505"/>
      <c r="K17" s="510"/>
      <c r="L17" s="503"/>
    </row>
    <row r="18">
      <c r="A18" s="499"/>
      <c r="B18" s="510"/>
      <c r="C18" s="510"/>
      <c r="D18" s="510"/>
      <c r="E18" s="510"/>
      <c r="F18" s="505"/>
      <c r="G18" s="507"/>
      <c r="H18" s="508"/>
      <c r="I18" s="510"/>
      <c r="J18" s="505"/>
      <c r="K18" s="510"/>
      <c r="L18" s="503"/>
    </row>
    <row r="19">
      <c r="A19" s="499"/>
      <c r="B19" s="510"/>
      <c r="C19" s="510"/>
      <c r="D19" s="510"/>
      <c r="E19" s="510"/>
      <c r="F19" s="505"/>
      <c r="G19" s="507"/>
      <c r="H19" s="508"/>
      <c r="I19" s="510"/>
      <c r="J19" s="505"/>
      <c r="K19" s="510"/>
      <c r="L19" s="503"/>
    </row>
    <row r="20">
      <c r="A20" s="499"/>
      <c r="B20" s="510"/>
      <c r="C20" s="510"/>
      <c r="D20" s="510"/>
      <c r="E20" s="510"/>
      <c r="F20" s="505"/>
      <c r="G20" s="507"/>
      <c r="H20" s="508"/>
      <c r="I20" s="510"/>
      <c r="J20" s="505"/>
      <c r="K20" s="510"/>
      <c r="L20" s="503"/>
    </row>
    <row r="21">
      <c r="A21" s="499"/>
      <c r="B21" s="510"/>
      <c r="C21" s="510"/>
      <c r="D21" s="510"/>
      <c r="E21" s="510"/>
      <c r="F21" s="505"/>
      <c r="G21" s="507"/>
      <c r="H21" s="508"/>
      <c r="I21" s="510"/>
      <c r="J21" s="505"/>
      <c r="K21" s="510"/>
      <c r="L21" s="503"/>
    </row>
    <row r="22">
      <c r="A22" s="499"/>
      <c r="B22" s="510"/>
      <c r="C22" s="510"/>
      <c r="D22" s="510"/>
      <c r="E22" s="510"/>
      <c r="F22" s="505"/>
      <c r="G22" s="507"/>
      <c r="H22" s="508"/>
      <c r="I22" s="510"/>
      <c r="J22" s="505"/>
      <c r="K22" s="510"/>
      <c r="L22" s="503"/>
    </row>
    <row r="23">
      <c r="A23" s="499"/>
      <c r="B23" s="510"/>
      <c r="C23" s="510"/>
      <c r="D23" s="510"/>
      <c r="E23" s="510"/>
      <c r="F23" s="505"/>
      <c r="G23" s="507"/>
      <c r="H23" s="508"/>
      <c r="I23" s="510"/>
      <c r="J23" s="505"/>
      <c r="K23" s="510"/>
      <c r="L23" s="503"/>
    </row>
    <row r="24">
      <c r="A24" s="499"/>
      <c r="B24" s="510"/>
      <c r="C24" s="510"/>
      <c r="D24" s="510"/>
      <c r="E24" s="510"/>
      <c r="F24" s="505"/>
      <c r="G24" s="507"/>
      <c r="H24" s="508"/>
      <c r="I24" s="510"/>
      <c r="J24" s="505"/>
      <c r="K24" s="510"/>
      <c r="L24" s="503"/>
    </row>
    <row r="25">
      <c r="A25" s="499"/>
      <c r="B25" s="510"/>
      <c r="C25" s="510"/>
      <c r="D25" s="510"/>
      <c r="E25" s="510"/>
      <c r="F25" s="505"/>
      <c r="G25" s="507"/>
      <c r="H25" s="508"/>
      <c r="I25" s="510"/>
      <c r="J25" s="505"/>
      <c r="K25" s="510"/>
      <c r="L25" s="503"/>
    </row>
    <row r="26">
      <c r="A26" s="499"/>
      <c r="B26" s="510"/>
      <c r="C26" s="510"/>
      <c r="D26" s="510"/>
      <c r="E26" s="510"/>
      <c r="F26" s="505"/>
      <c r="G26" s="507"/>
      <c r="H26" s="508"/>
      <c r="I26" s="510"/>
      <c r="J26" s="505"/>
      <c r="K26" s="510"/>
      <c r="L26" s="503"/>
    </row>
    <row r="27">
      <c r="A27" s="499"/>
      <c r="B27" s="510"/>
      <c r="C27" s="510"/>
      <c r="D27" s="510"/>
      <c r="E27" s="510"/>
      <c r="F27" s="505"/>
      <c r="G27" s="507"/>
      <c r="H27" s="508"/>
      <c r="I27" s="510"/>
      <c r="J27" s="505"/>
      <c r="K27" s="510"/>
      <c r="L27" s="503"/>
    </row>
    <row r="28">
      <c r="A28" s="499"/>
      <c r="B28" s="510"/>
      <c r="C28" s="510"/>
      <c r="D28" s="510"/>
      <c r="E28" s="510"/>
      <c r="F28" s="505"/>
      <c r="G28" s="507"/>
      <c r="H28" s="508"/>
      <c r="I28" s="510"/>
      <c r="J28" s="505"/>
      <c r="K28" s="510"/>
      <c r="L28" s="503"/>
    </row>
    <row r="29">
      <c r="A29" s="499"/>
      <c r="B29" s="510"/>
      <c r="C29" s="510"/>
      <c r="D29" s="510"/>
      <c r="E29" s="510"/>
      <c r="F29" s="505"/>
      <c r="G29" s="507"/>
      <c r="H29" s="508"/>
      <c r="I29" s="510"/>
      <c r="J29" s="505"/>
      <c r="K29" s="510"/>
      <c r="L29" s="503"/>
    </row>
    <row r="30">
      <c r="A30" s="499"/>
      <c r="B30" s="510"/>
      <c r="C30" s="510"/>
      <c r="D30" s="510"/>
      <c r="E30" s="510"/>
      <c r="F30" s="505"/>
      <c r="G30" s="507"/>
      <c r="H30" s="508"/>
      <c r="I30" s="510"/>
      <c r="J30" s="505"/>
      <c r="K30" s="510"/>
      <c r="L30" s="503"/>
    </row>
    <row r="31">
      <c r="A31" s="499"/>
      <c r="B31" s="510"/>
      <c r="C31" s="510"/>
      <c r="D31" s="510"/>
      <c r="E31" s="510"/>
      <c r="F31" s="505"/>
      <c r="G31" s="507"/>
      <c r="H31" s="508"/>
      <c r="I31" s="510"/>
      <c r="J31" s="505"/>
      <c r="K31" s="510"/>
      <c r="L31" s="503"/>
    </row>
    <row r="32">
      <c r="A32" s="499"/>
      <c r="B32" s="510"/>
      <c r="C32" s="510"/>
      <c r="D32" s="510"/>
      <c r="E32" s="510"/>
      <c r="F32" s="505"/>
      <c r="G32" s="507"/>
      <c r="H32" s="508"/>
      <c r="I32" s="510"/>
      <c r="J32" s="505"/>
      <c r="K32" s="510"/>
      <c r="L32" s="503"/>
    </row>
    <row r="33">
      <c r="A33" s="499"/>
      <c r="B33" s="510"/>
      <c r="C33" s="510"/>
      <c r="D33" s="510"/>
      <c r="E33" s="510"/>
      <c r="F33" s="505"/>
      <c r="G33" s="507"/>
      <c r="H33" s="508"/>
      <c r="I33" s="510"/>
      <c r="J33" s="505"/>
      <c r="K33" s="510"/>
      <c r="L33" s="503"/>
    </row>
    <row r="34">
      <c r="A34" s="499"/>
      <c r="B34" s="510"/>
      <c r="C34" s="510"/>
      <c r="D34" s="510"/>
      <c r="E34" s="510"/>
      <c r="F34" s="505"/>
      <c r="G34" s="507"/>
      <c r="H34" s="508"/>
      <c r="I34" s="510"/>
      <c r="J34" s="505"/>
      <c r="K34" s="510"/>
      <c r="L34" s="503"/>
    </row>
    <row r="35">
      <c r="A35" s="499"/>
      <c r="B35" s="510"/>
      <c r="C35" s="510"/>
      <c r="D35" s="510"/>
      <c r="E35" s="510"/>
      <c r="F35" s="505"/>
      <c r="G35" s="507"/>
      <c r="H35" s="508"/>
      <c r="I35" s="510"/>
      <c r="J35" s="505"/>
      <c r="K35" s="510"/>
      <c r="L35" s="503"/>
    </row>
    <row r="36">
      <c r="A36" s="499"/>
      <c r="B36" s="510"/>
      <c r="C36" s="510"/>
      <c r="D36" s="510"/>
      <c r="E36" s="510"/>
      <c r="F36" s="505"/>
      <c r="G36" s="507"/>
      <c r="H36" s="508"/>
      <c r="I36" s="510"/>
      <c r="J36" s="505"/>
      <c r="K36" s="510"/>
      <c r="L36" s="503"/>
    </row>
    <row r="37">
      <c r="A37" s="499"/>
      <c r="B37" s="510"/>
      <c r="C37" s="510"/>
      <c r="D37" s="510"/>
      <c r="E37" s="510"/>
      <c r="F37" s="505"/>
      <c r="G37" s="507"/>
      <c r="H37" s="508"/>
      <c r="I37" s="510"/>
      <c r="J37" s="505"/>
      <c r="K37" s="510"/>
      <c r="L37" s="503"/>
    </row>
    <row r="38">
      <c r="A38" s="499"/>
      <c r="B38" s="510"/>
      <c r="C38" s="510"/>
      <c r="D38" s="510"/>
      <c r="E38" s="510"/>
      <c r="F38" s="505"/>
      <c r="G38" s="507"/>
      <c r="H38" s="508"/>
      <c r="I38" s="510"/>
      <c r="J38" s="505"/>
      <c r="K38" s="510"/>
      <c r="L38" s="503"/>
    </row>
    <row r="39">
      <c r="A39" s="499"/>
      <c r="B39" s="510"/>
      <c r="C39" s="510"/>
      <c r="D39" s="510"/>
      <c r="E39" s="510"/>
      <c r="F39" s="505"/>
      <c r="G39" s="507"/>
      <c r="H39" s="508"/>
      <c r="I39" s="510"/>
      <c r="J39" s="505"/>
      <c r="K39" s="510"/>
      <c r="L39" s="503"/>
    </row>
    <row r="40">
      <c r="A40" s="499"/>
      <c r="B40" s="510"/>
      <c r="C40" s="510"/>
      <c r="D40" s="510"/>
      <c r="E40" s="510"/>
      <c r="F40" s="505"/>
      <c r="G40" s="507"/>
      <c r="H40" s="508"/>
      <c r="I40" s="510"/>
      <c r="J40" s="505"/>
      <c r="K40" s="510"/>
      <c r="L40" s="503"/>
    </row>
    <row r="41">
      <c r="A41" s="499"/>
      <c r="B41" s="510"/>
      <c r="C41" s="510"/>
      <c r="D41" s="510"/>
      <c r="E41" s="510"/>
      <c r="F41" s="505"/>
      <c r="G41" s="507"/>
      <c r="H41" s="508"/>
      <c r="I41" s="510"/>
      <c r="J41" s="505"/>
      <c r="K41" s="510"/>
      <c r="L41" s="503"/>
    </row>
    <row r="42">
      <c r="A42" s="499"/>
      <c r="B42" s="510"/>
      <c r="C42" s="510"/>
      <c r="D42" s="510"/>
      <c r="E42" s="510"/>
      <c r="F42" s="505"/>
      <c r="G42" s="507"/>
      <c r="H42" s="508"/>
      <c r="I42" s="510"/>
      <c r="J42" s="505"/>
      <c r="K42" s="510"/>
      <c r="L42" s="503"/>
    </row>
    <row r="43">
      <c r="A43" s="499"/>
      <c r="B43" s="510"/>
      <c r="C43" s="510"/>
      <c r="D43" s="510"/>
      <c r="E43" s="510"/>
      <c r="F43" s="505"/>
      <c r="G43" s="507"/>
      <c r="H43" s="508"/>
      <c r="I43" s="510"/>
      <c r="J43" s="505"/>
      <c r="K43" s="510"/>
      <c r="L43" s="503"/>
    </row>
    <row r="44">
      <c r="A44" s="499"/>
      <c r="B44" s="510"/>
      <c r="C44" s="510"/>
      <c r="D44" s="510"/>
      <c r="E44" s="510"/>
      <c r="F44" s="505"/>
      <c r="G44" s="507"/>
      <c r="H44" s="508"/>
      <c r="I44" s="510"/>
      <c r="J44" s="505"/>
      <c r="K44" s="510"/>
      <c r="L44" s="503"/>
    </row>
    <row r="45">
      <c r="A45" s="499"/>
      <c r="B45" s="510"/>
      <c r="C45" s="510"/>
      <c r="D45" s="510"/>
      <c r="E45" s="510"/>
      <c r="F45" s="505"/>
      <c r="G45" s="507"/>
      <c r="H45" s="508"/>
      <c r="I45" s="510"/>
      <c r="J45" s="505"/>
      <c r="K45" s="510"/>
      <c r="L45" s="503"/>
    </row>
    <row r="46">
      <c r="A46" s="499"/>
      <c r="B46" s="510"/>
      <c r="C46" s="510"/>
      <c r="D46" s="510"/>
      <c r="E46" s="510"/>
      <c r="F46" s="505"/>
      <c r="G46" s="507"/>
      <c r="H46" s="508"/>
      <c r="I46" s="510"/>
      <c r="J46" s="505"/>
      <c r="K46" s="510"/>
      <c r="L46" s="503"/>
    </row>
    <row r="47">
      <c r="A47" s="499"/>
      <c r="B47" s="510"/>
      <c r="C47" s="510"/>
      <c r="D47" s="510"/>
      <c r="E47" s="510"/>
      <c r="F47" s="505"/>
      <c r="G47" s="507"/>
      <c r="H47" s="508"/>
      <c r="I47" s="510"/>
      <c r="J47" s="505"/>
      <c r="K47" s="510"/>
      <c r="L47" s="503"/>
    </row>
    <row r="48">
      <c r="A48" s="499"/>
      <c r="B48" s="510"/>
      <c r="C48" s="510"/>
      <c r="D48" s="510"/>
      <c r="E48" s="510"/>
      <c r="F48" s="505"/>
      <c r="G48" s="507"/>
      <c r="H48" s="508"/>
      <c r="I48" s="510"/>
      <c r="J48" s="505"/>
      <c r="K48" s="510"/>
      <c r="L48" s="503"/>
    </row>
    <row r="49">
      <c r="A49" s="499"/>
      <c r="B49" s="510"/>
      <c r="C49" s="510"/>
      <c r="D49" s="510"/>
      <c r="E49" s="510"/>
      <c r="F49" s="505"/>
      <c r="G49" s="507"/>
      <c r="H49" s="508"/>
      <c r="I49" s="510"/>
      <c r="J49" s="505"/>
      <c r="K49" s="510"/>
      <c r="L49" s="503"/>
    </row>
    <row r="50">
      <c r="A50" s="499"/>
      <c r="B50" s="510"/>
      <c r="C50" s="510"/>
      <c r="D50" s="510"/>
      <c r="E50" s="510"/>
      <c r="F50" s="505"/>
      <c r="G50" s="507"/>
      <c r="H50" s="508"/>
      <c r="I50" s="510"/>
      <c r="J50" s="505"/>
      <c r="K50" s="510"/>
      <c r="L50" s="503"/>
    </row>
    <row r="51">
      <c r="A51" s="499"/>
      <c r="B51" s="510"/>
      <c r="C51" s="510"/>
      <c r="D51" s="510"/>
      <c r="E51" s="510"/>
      <c r="F51" s="505"/>
      <c r="G51" s="507"/>
      <c r="H51" s="508"/>
      <c r="I51" s="510"/>
      <c r="J51" s="505"/>
      <c r="K51" s="510"/>
      <c r="L51" s="503"/>
    </row>
    <row r="52">
      <c r="A52" s="499"/>
      <c r="B52" s="510"/>
      <c r="C52" s="510"/>
      <c r="D52" s="510"/>
      <c r="E52" s="510"/>
      <c r="F52" s="505"/>
      <c r="G52" s="507"/>
      <c r="H52" s="508"/>
      <c r="I52" s="510"/>
      <c r="J52" s="505"/>
      <c r="K52" s="510"/>
      <c r="L52" s="503"/>
    </row>
    <row r="53">
      <c r="A53" s="499"/>
      <c r="B53" s="510"/>
      <c r="C53" s="510"/>
      <c r="D53" s="510"/>
      <c r="E53" s="510"/>
      <c r="F53" s="505"/>
      <c r="G53" s="507"/>
      <c r="H53" s="508"/>
      <c r="I53" s="510"/>
      <c r="J53" s="505"/>
      <c r="K53" s="510"/>
      <c r="L53" s="503"/>
    </row>
    <row r="54">
      <c r="A54" s="499"/>
      <c r="B54" s="510"/>
      <c r="C54" s="510"/>
      <c r="D54" s="510"/>
      <c r="E54" s="510"/>
      <c r="F54" s="505"/>
      <c r="G54" s="507"/>
      <c r="H54" s="508"/>
      <c r="I54" s="510"/>
      <c r="J54" s="505"/>
      <c r="K54" s="510"/>
      <c r="L54" s="503"/>
    </row>
    <row r="55">
      <c r="A55" s="499"/>
      <c r="B55" s="510"/>
      <c r="C55" s="510"/>
      <c r="D55" s="510"/>
      <c r="E55" s="510"/>
      <c r="F55" s="505"/>
      <c r="G55" s="507"/>
      <c r="H55" s="508"/>
      <c r="I55" s="510"/>
      <c r="J55" s="505"/>
      <c r="K55" s="510"/>
      <c r="L55" s="503"/>
    </row>
    <row r="56">
      <c r="A56" s="499"/>
      <c r="B56" s="510"/>
      <c r="C56" s="510"/>
      <c r="D56" s="510"/>
      <c r="E56" s="510"/>
      <c r="F56" s="505"/>
      <c r="G56" s="507"/>
      <c r="H56" s="508"/>
      <c r="I56" s="510"/>
      <c r="J56" s="505"/>
      <c r="K56" s="510"/>
      <c r="L56" s="503"/>
    </row>
    <row r="57">
      <c r="A57" s="499"/>
      <c r="B57" s="510"/>
      <c r="C57" s="510"/>
      <c r="D57" s="510"/>
      <c r="E57" s="510"/>
      <c r="F57" s="505"/>
      <c r="G57" s="507"/>
      <c r="H57" s="508"/>
      <c r="I57" s="510"/>
      <c r="J57" s="505"/>
      <c r="K57" s="510"/>
      <c r="L57" s="503"/>
    </row>
    <row r="58">
      <c r="A58" s="499"/>
      <c r="B58" s="510"/>
      <c r="C58" s="510"/>
      <c r="D58" s="510"/>
      <c r="E58" s="510"/>
      <c r="F58" s="505"/>
      <c r="G58" s="507"/>
      <c r="H58" s="508"/>
      <c r="I58" s="510"/>
      <c r="J58" s="505"/>
      <c r="K58" s="510"/>
      <c r="L58" s="503"/>
    </row>
    <row r="59">
      <c r="A59" s="499"/>
      <c r="B59" s="510"/>
      <c r="C59" s="510"/>
      <c r="D59" s="510"/>
      <c r="E59" s="510"/>
      <c r="F59" s="505"/>
      <c r="G59" s="507"/>
      <c r="H59" s="508"/>
      <c r="I59" s="510"/>
      <c r="J59" s="505"/>
      <c r="K59" s="510"/>
      <c r="L59" s="503"/>
    </row>
    <row r="60">
      <c r="A60" s="499"/>
      <c r="B60" s="510"/>
      <c r="C60" s="510"/>
      <c r="D60" s="510"/>
      <c r="E60" s="510"/>
      <c r="F60" s="505"/>
      <c r="G60" s="507"/>
      <c r="H60" s="508"/>
      <c r="I60" s="510"/>
      <c r="J60" s="505"/>
      <c r="K60" s="510"/>
      <c r="L60" s="503"/>
    </row>
    <row r="61">
      <c r="A61" s="499"/>
      <c r="B61" s="510"/>
      <c r="C61" s="510"/>
      <c r="D61" s="510"/>
      <c r="E61" s="510"/>
      <c r="F61" s="505"/>
      <c r="G61" s="507"/>
      <c r="H61" s="508"/>
      <c r="I61" s="510"/>
      <c r="J61" s="505"/>
      <c r="K61" s="510"/>
      <c r="L61" s="503"/>
    </row>
    <row r="62">
      <c r="A62" s="499"/>
      <c r="B62" s="510"/>
      <c r="C62" s="510"/>
      <c r="D62" s="510"/>
      <c r="E62" s="510"/>
      <c r="F62" s="505"/>
      <c r="G62" s="507"/>
      <c r="H62" s="508"/>
      <c r="I62" s="510"/>
      <c r="J62" s="505"/>
      <c r="K62" s="510"/>
      <c r="L62" s="503"/>
    </row>
    <row r="63">
      <c r="A63" s="499"/>
      <c r="B63" s="510"/>
      <c r="C63" s="510"/>
      <c r="D63" s="510"/>
      <c r="E63" s="510"/>
      <c r="F63" s="505"/>
      <c r="G63" s="507"/>
      <c r="H63" s="508"/>
      <c r="I63" s="510"/>
      <c r="J63" s="505"/>
      <c r="K63" s="510"/>
      <c r="L63" s="503"/>
    </row>
    <row r="64">
      <c r="A64" s="499"/>
      <c r="B64" s="510"/>
      <c r="C64" s="510"/>
      <c r="D64" s="510"/>
      <c r="E64" s="510"/>
      <c r="F64" s="505"/>
      <c r="G64" s="507"/>
      <c r="H64" s="508"/>
      <c r="I64" s="510"/>
      <c r="J64" s="505"/>
      <c r="K64" s="510"/>
      <c r="L64" s="503"/>
    </row>
    <row r="65">
      <c r="A65" s="499"/>
      <c r="B65" s="510"/>
      <c r="C65" s="510"/>
      <c r="D65" s="510"/>
      <c r="E65" s="510"/>
      <c r="F65" s="505"/>
      <c r="G65" s="507"/>
      <c r="H65" s="508"/>
      <c r="I65" s="510"/>
      <c r="J65" s="505"/>
      <c r="K65" s="510"/>
      <c r="L65" s="503"/>
    </row>
    <row r="66">
      <c r="A66" s="499"/>
      <c r="B66" s="510"/>
      <c r="C66" s="510"/>
      <c r="D66" s="510"/>
      <c r="E66" s="510"/>
      <c r="F66" s="505"/>
      <c r="G66" s="507"/>
      <c r="H66" s="508"/>
      <c r="I66" s="510"/>
      <c r="J66" s="505"/>
      <c r="K66" s="510"/>
      <c r="L66" s="503"/>
    </row>
    <row r="67">
      <c r="A67" s="499"/>
      <c r="B67" s="510"/>
      <c r="C67" s="510"/>
      <c r="D67" s="510"/>
      <c r="E67" s="510"/>
      <c r="F67" s="505"/>
      <c r="G67" s="507"/>
      <c r="H67" s="508"/>
      <c r="I67" s="510"/>
      <c r="J67" s="505"/>
      <c r="K67" s="510"/>
      <c r="L67" s="503"/>
    </row>
    <row r="68">
      <c r="A68" s="499"/>
      <c r="B68" s="510"/>
      <c r="C68" s="510"/>
      <c r="D68" s="510"/>
      <c r="E68" s="510"/>
      <c r="F68" s="505"/>
      <c r="G68" s="507"/>
      <c r="H68" s="508"/>
      <c r="I68" s="510"/>
      <c r="J68" s="505"/>
      <c r="K68" s="510"/>
      <c r="L68" s="503"/>
    </row>
    <row r="69">
      <c r="A69" s="499"/>
      <c r="B69" s="510"/>
      <c r="C69" s="510"/>
      <c r="D69" s="510"/>
      <c r="E69" s="510"/>
      <c r="F69" s="505"/>
      <c r="G69" s="507"/>
      <c r="H69" s="508"/>
      <c r="I69" s="510"/>
      <c r="J69" s="505"/>
      <c r="K69" s="510"/>
      <c r="L69" s="503"/>
    </row>
    <row r="70">
      <c r="A70" s="499"/>
      <c r="B70" s="510"/>
      <c r="C70" s="510"/>
      <c r="D70" s="510"/>
      <c r="E70" s="510"/>
      <c r="F70" s="505"/>
      <c r="G70" s="507"/>
      <c r="H70" s="508"/>
      <c r="I70" s="510"/>
      <c r="J70" s="505"/>
      <c r="K70" s="510"/>
      <c r="L70" s="503"/>
    </row>
    <row r="71">
      <c r="A71" s="499"/>
      <c r="B71" s="510"/>
      <c r="C71" s="510"/>
      <c r="D71" s="510"/>
      <c r="E71" s="510"/>
      <c r="F71" s="505"/>
      <c r="G71" s="507"/>
      <c r="H71" s="508"/>
      <c r="I71" s="510"/>
      <c r="J71" s="505"/>
      <c r="K71" s="510"/>
      <c r="L71" s="503"/>
    </row>
    <row r="72">
      <c r="A72" s="499"/>
      <c r="B72" s="510"/>
      <c r="C72" s="510"/>
      <c r="D72" s="510"/>
      <c r="E72" s="510"/>
      <c r="F72" s="505"/>
      <c r="G72" s="507"/>
      <c r="H72" s="508"/>
      <c r="I72" s="510"/>
      <c r="J72" s="505"/>
      <c r="K72" s="510"/>
      <c r="L72" s="503"/>
    </row>
    <row r="73">
      <c r="A73" s="499"/>
      <c r="B73" s="510"/>
      <c r="C73" s="510"/>
      <c r="D73" s="510"/>
      <c r="E73" s="510"/>
      <c r="F73" s="505"/>
      <c r="G73" s="507"/>
      <c r="H73" s="508"/>
      <c r="I73" s="510"/>
      <c r="J73" s="505"/>
      <c r="K73" s="510"/>
      <c r="L73" s="503"/>
    </row>
    <row r="74">
      <c r="A74" s="499"/>
      <c r="B74" s="510"/>
      <c r="C74" s="510"/>
      <c r="D74" s="510"/>
      <c r="E74" s="510"/>
      <c r="F74" s="505"/>
      <c r="G74" s="507"/>
      <c r="H74" s="508"/>
      <c r="I74" s="510"/>
      <c r="J74" s="505"/>
      <c r="K74" s="510"/>
      <c r="L74" s="503"/>
    </row>
    <row r="75">
      <c r="A75" s="499"/>
      <c r="B75" s="510"/>
      <c r="C75" s="510"/>
      <c r="D75" s="510"/>
      <c r="E75" s="510"/>
      <c r="F75" s="505"/>
      <c r="G75" s="507"/>
      <c r="H75" s="508"/>
      <c r="I75" s="510"/>
      <c r="J75" s="505"/>
      <c r="K75" s="510"/>
      <c r="L75" s="503"/>
    </row>
    <row r="76">
      <c r="A76" s="499"/>
      <c r="B76" s="510"/>
      <c r="C76" s="510"/>
      <c r="D76" s="510"/>
      <c r="E76" s="510"/>
      <c r="F76" s="505"/>
      <c r="G76" s="507"/>
      <c r="H76" s="508"/>
      <c r="I76" s="510"/>
      <c r="J76" s="505"/>
      <c r="K76" s="510"/>
      <c r="L76" s="503"/>
    </row>
    <row r="77">
      <c r="A77" s="499"/>
      <c r="B77" s="510"/>
      <c r="C77" s="510"/>
      <c r="D77" s="510"/>
      <c r="E77" s="510"/>
      <c r="F77" s="505"/>
      <c r="G77" s="507"/>
      <c r="H77" s="508"/>
      <c r="I77" s="510"/>
      <c r="J77" s="505"/>
      <c r="K77" s="510"/>
      <c r="L77" s="503"/>
    </row>
    <row r="78">
      <c r="A78" s="499"/>
      <c r="B78" s="510"/>
      <c r="C78" s="510"/>
      <c r="D78" s="510"/>
      <c r="E78" s="510"/>
      <c r="F78" s="505"/>
      <c r="G78" s="507"/>
      <c r="H78" s="508"/>
      <c r="I78" s="510"/>
      <c r="J78" s="505"/>
      <c r="K78" s="510"/>
      <c r="L78" s="503"/>
    </row>
    <row r="79">
      <c r="A79" s="499"/>
      <c r="B79" s="510"/>
      <c r="C79" s="510"/>
      <c r="D79" s="510"/>
      <c r="E79" s="510"/>
      <c r="F79" s="505"/>
      <c r="G79" s="507"/>
      <c r="H79" s="508"/>
      <c r="I79" s="510"/>
      <c r="J79" s="505"/>
      <c r="K79" s="510"/>
      <c r="L79" s="503"/>
    </row>
    <row r="80">
      <c r="A80" s="499"/>
      <c r="B80" s="510"/>
      <c r="C80" s="510"/>
      <c r="D80" s="510"/>
      <c r="E80" s="510"/>
      <c r="F80" s="505"/>
      <c r="G80" s="507"/>
      <c r="H80" s="508"/>
      <c r="I80" s="510"/>
      <c r="J80" s="505"/>
      <c r="K80" s="510"/>
      <c r="L80" s="503"/>
    </row>
    <row r="81">
      <c r="A81" s="499"/>
      <c r="B81" s="510"/>
      <c r="C81" s="510"/>
      <c r="D81" s="510"/>
      <c r="E81" s="510"/>
      <c r="F81" s="505"/>
      <c r="G81" s="507"/>
      <c r="H81" s="508"/>
      <c r="I81" s="510"/>
      <c r="J81" s="505"/>
      <c r="K81" s="510"/>
      <c r="L81" s="503"/>
    </row>
    <row r="82">
      <c r="A82" s="499"/>
      <c r="B82" s="510"/>
      <c r="C82" s="510"/>
      <c r="D82" s="510"/>
      <c r="E82" s="510"/>
      <c r="F82" s="505"/>
      <c r="G82" s="507"/>
      <c r="H82" s="508"/>
      <c r="I82" s="510"/>
      <c r="J82" s="505"/>
      <c r="K82" s="510"/>
      <c r="L82" s="503"/>
    </row>
    <row r="83">
      <c r="A83" s="499"/>
      <c r="B83" s="510"/>
      <c r="C83" s="510"/>
      <c r="D83" s="510"/>
      <c r="E83" s="510"/>
      <c r="F83" s="505"/>
      <c r="G83" s="507"/>
      <c r="H83" s="508"/>
      <c r="I83" s="510"/>
      <c r="J83" s="505"/>
      <c r="K83" s="510"/>
      <c r="L83" s="503"/>
    </row>
    <row r="84">
      <c r="A84" s="499"/>
      <c r="B84" s="510"/>
      <c r="C84" s="510"/>
      <c r="D84" s="510"/>
      <c r="E84" s="510"/>
      <c r="F84" s="505"/>
      <c r="G84" s="507"/>
      <c r="H84" s="515"/>
      <c r="I84" s="510"/>
      <c r="J84" s="505"/>
      <c r="K84" s="510"/>
      <c r="L84" s="503"/>
    </row>
    <row r="85">
      <c r="A85" s="499"/>
      <c r="B85" s="510"/>
      <c r="C85" s="510"/>
      <c r="D85" s="510"/>
      <c r="E85" s="510"/>
      <c r="F85" s="505"/>
      <c r="G85" s="507"/>
      <c r="H85" s="515"/>
      <c r="I85" s="510"/>
      <c r="J85" s="505"/>
      <c r="K85" s="510"/>
      <c r="L85" s="503"/>
    </row>
    <row r="86">
      <c r="A86" s="499"/>
      <c r="B86" s="510"/>
      <c r="C86" s="510"/>
      <c r="D86" s="510"/>
      <c r="E86" s="510"/>
      <c r="F86" s="505"/>
      <c r="G86" s="507"/>
      <c r="H86" s="515"/>
      <c r="I86" s="510"/>
      <c r="J86" s="505"/>
      <c r="K86" s="510"/>
      <c r="L86" s="503"/>
    </row>
    <row r="87">
      <c r="A87" s="499"/>
      <c r="B87" s="510"/>
      <c r="C87" s="510"/>
      <c r="D87" s="510"/>
      <c r="E87" s="510"/>
      <c r="F87" s="505"/>
      <c r="G87" s="507"/>
      <c r="H87" s="515"/>
      <c r="I87" s="510"/>
      <c r="J87" s="505"/>
      <c r="K87" s="510"/>
      <c r="L87" s="503"/>
    </row>
    <row r="88">
      <c r="A88" s="499"/>
      <c r="B88" s="510"/>
      <c r="C88" s="510"/>
      <c r="D88" s="510"/>
      <c r="E88" s="510"/>
      <c r="F88" s="505"/>
      <c r="G88" s="507"/>
      <c r="H88" s="515"/>
      <c r="I88" s="510"/>
      <c r="J88" s="505"/>
      <c r="K88" s="510"/>
      <c r="L88" s="503"/>
    </row>
    <row r="89">
      <c r="A89" s="499"/>
      <c r="B89" s="510"/>
      <c r="C89" s="510"/>
      <c r="D89" s="510"/>
      <c r="E89" s="510"/>
      <c r="F89" s="505"/>
      <c r="G89" s="507"/>
      <c r="H89" s="515"/>
      <c r="I89" s="510"/>
      <c r="J89" s="505"/>
      <c r="K89" s="510"/>
      <c r="L89" s="503"/>
    </row>
    <row r="90">
      <c r="A90" s="499"/>
      <c r="B90" s="510"/>
      <c r="C90" s="510"/>
      <c r="D90" s="510"/>
      <c r="E90" s="510"/>
      <c r="F90" s="505"/>
      <c r="G90" s="507"/>
      <c r="H90" s="515"/>
      <c r="I90" s="510"/>
      <c r="J90" s="505"/>
      <c r="K90" s="510"/>
      <c r="L90" s="503"/>
    </row>
    <row r="91">
      <c r="A91" s="499"/>
      <c r="B91" s="510"/>
      <c r="C91" s="510"/>
      <c r="D91" s="510"/>
      <c r="E91" s="510"/>
      <c r="F91" s="505"/>
      <c r="G91" s="507"/>
      <c r="H91" s="515"/>
      <c r="I91" s="510"/>
      <c r="J91" s="505"/>
      <c r="K91" s="510"/>
      <c r="L91" s="503"/>
    </row>
    <row r="92">
      <c r="A92" s="499"/>
      <c r="B92" s="510"/>
      <c r="C92" s="510"/>
      <c r="D92" s="510"/>
      <c r="E92" s="510"/>
      <c r="F92" s="505"/>
      <c r="G92" s="507"/>
      <c r="H92" s="515"/>
      <c r="I92" s="510"/>
      <c r="J92" s="505"/>
      <c r="K92" s="510"/>
      <c r="L92" s="503"/>
    </row>
    <row r="93">
      <c r="A93" s="499"/>
      <c r="B93" s="510"/>
      <c r="C93" s="510"/>
      <c r="D93" s="510"/>
      <c r="E93" s="510"/>
      <c r="F93" s="505"/>
      <c r="G93" s="507"/>
      <c r="H93" s="515"/>
      <c r="I93" s="510"/>
      <c r="J93" s="505"/>
      <c r="K93" s="510"/>
      <c r="L93" s="503"/>
    </row>
    <row r="94">
      <c r="A94" s="499"/>
      <c r="B94" s="510"/>
      <c r="C94" s="510"/>
      <c r="D94" s="510"/>
      <c r="E94" s="510"/>
      <c r="F94" s="505"/>
      <c r="G94" s="507"/>
      <c r="H94" s="515"/>
      <c r="I94" s="510"/>
      <c r="J94" s="505"/>
      <c r="K94" s="510"/>
      <c r="L94" s="503"/>
    </row>
    <row r="95">
      <c r="A95" s="499"/>
      <c r="B95" s="510"/>
      <c r="C95" s="510"/>
      <c r="D95" s="510"/>
      <c r="E95" s="510"/>
      <c r="F95" s="505"/>
      <c r="G95" s="507"/>
      <c r="H95" s="515"/>
      <c r="I95" s="510"/>
      <c r="J95" s="505"/>
      <c r="K95" s="510"/>
      <c r="L95" s="503"/>
    </row>
    <row r="96">
      <c r="A96" s="499"/>
      <c r="B96" s="510"/>
      <c r="C96" s="510"/>
      <c r="D96" s="510"/>
      <c r="E96" s="510"/>
      <c r="F96" s="505"/>
      <c r="G96" s="507"/>
      <c r="H96" s="515"/>
      <c r="I96" s="510"/>
      <c r="J96" s="505"/>
      <c r="K96" s="510"/>
      <c r="L96" s="503"/>
    </row>
    <row r="97">
      <c r="A97" s="499"/>
      <c r="B97" s="510"/>
      <c r="C97" s="510"/>
      <c r="D97" s="510"/>
      <c r="E97" s="510"/>
      <c r="F97" s="505"/>
      <c r="G97" s="507"/>
      <c r="H97" s="515"/>
      <c r="I97" s="510"/>
      <c r="J97" s="505"/>
      <c r="K97" s="510"/>
      <c r="L97" s="503"/>
    </row>
    <row r="98">
      <c r="A98" s="499"/>
      <c r="B98" s="510"/>
      <c r="C98" s="510"/>
      <c r="D98" s="510"/>
      <c r="E98" s="510"/>
      <c r="F98" s="505"/>
      <c r="G98" s="507"/>
      <c r="H98" s="515"/>
      <c r="I98" s="510"/>
      <c r="J98" s="505"/>
      <c r="K98" s="510"/>
      <c r="L98" s="503"/>
    </row>
    <row r="99">
      <c r="A99" s="499"/>
      <c r="B99" s="510"/>
      <c r="C99" s="510"/>
      <c r="D99" s="510"/>
      <c r="E99" s="510"/>
      <c r="F99" s="505"/>
      <c r="G99" s="507"/>
      <c r="H99" s="515"/>
      <c r="I99" s="510"/>
      <c r="J99" s="505"/>
      <c r="K99" s="510"/>
      <c r="L99" s="503"/>
    </row>
    <row r="100">
      <c r="A100" s="499"/>
      <c r="B100" s="510"/>
      <c r="C100" s="510"/>
      <c r="D100" s="510"/>
      <c r="E100" s="510"/>
      <c r="F100" s="505"/>
      <c r="G100" s="507"/>
      <c r="H100" s="515"/>
      <c r="I100" s="510"/>
      <c r="J100" s="505"/>
      <c r="K100" s="510"/>
      <c r="L100" s="503"/>
    </row>
    <row r="101">
      <c r="A101" s="499"/>
      <c r="B101" s="510"/>
      <c r="C101" s="510"/>
      <c r="D101" s="510"/>
      <c r="E101" s="510"/>
      <c r="F101" s="505"/>
      <c r="G101" s="507"/>
      <c r="H101" s="515"/>
      <c r="I101" s="510"/>
      <c r="J101" s="505"/>
      <c r="K101" s="510"/>
      <c r="L101" s="503"/>
    </row>
    <row r="102">
      <c r="A102" s="499"/>
      <c r="B102" s="510"/>
      <c r="C102" s="510"/>
      <c r="D102" s="510"/>
      <c r="E102" s="510"/>
      <c r="F102" s="505"/>
      <c r="G102" s="507"/>
      <c r="H102" s="515"/>
      <c r="I102" s="510"/>
      <c r="J102" s="505"/>
      <c r="K102" s="510"/>
      <c r="L102" s="503"/>
    </row>
    <row r="103">
      <c r="A103" s="499"/>
      <c r="B103" s="510"/>
      <c r="C103" s="510"/>
      <c r="D103" s="510"/>
      <c r="E103" s="510"/>
      <c r="F103" s="505"/>
      <c r="G103" s="507"/>
      <c r="H103" s="515"/>
      <c r="I103" s="510"/>
      <c r="J103" s="505"/>
      <c r="K103" s="510"/>
      <c r="L103" s="503"/>
    </row>
    <row r="104">
      <c r="A104" s="499"/>
      <c r="B104" s="510"/>
      <c r="C104" s="510"/>
      <c r="D104" s="510"/>
      <c r="E104" s="510"/>
      <c r="F104" s="505"/>
      <c r="G104" s="507"/>
      <c r="H104" s="515"/>
      <c r="I104" s="510"/>
      <c r="J104" s="505"/>
      <c r="K104" s="510"/>
      <c r="L104" s="503"/>
    </row>
    <row r="105">
      <c r="A105" s="499"/>
      <c r="B105" s="510"/>
      <c r="C105" s="510"/>
      <c r="D105" s="510"/>
      <c r="E105" s="510"/>
      <c r="F105" s="505"/>
      <c r="G105" s="507"/>
      <c r="H105" s="515"/>
      <c r="I105" s="510"/>
      <c r="J105" s="505"/>
      <c r="K105" s="510"/>
      <c r="L105" s="503"/>
    </row>
    <row r="106">
      <c r="A106" s="499"/>
      <c r="B106" s="510"/>
      <c r="C106" s="510"/>
      <c r="D106" s="510"/>
      <c r="E106" s="510"/>
      <c r="F106" s="505"/>
      <c r="G106" s="507"/>
      <c r="H106" s="515"/>
      <c r="I106" s="510"/>
      <c r="J106" s="505"/>
      <c r="K106" s="510"/>
      <c r="L106" s="503"/>
    </row>
    <row r="107">
      <c r="A107" s="499"/>
      <c r="B107" s="510"/>
      <c r="C107" s="510"/>
      <c r="D107" s="510"/>
      <c r="E107" s="510"/>
      <c r="F107" s="505"/>
      <c r="G107" s="507"/>
      <c r="H107" s="515"/>
      <c r="I107" s="510"/>
      <c r="J107" s="505"/>
      <c r="K107" s="510"/>
      <c r="L107" s="503"/>
    </row>
    <row r="108">
      <c r="A108" s="499"/>
      <c r="B108" s="510"/>
      <c r="C108" s="510"/>
      <c r="D108" s="510"/>
      <c r="E108" s="510"/>
      <c r="F108" s="505"/>
      <c r="G108" s="507"/>
      <c r="H108" s="515"/>
      <c r="I108" s="510"/>
      <c r="J108" s="505"/>
      <c r="K108" s="510"/>
      <c r="L108" s="503"/>
    </row>
    <row r="109">
      <c r="A109" s="499"/>
      <c r="B109" s="510"/>
      <c r="C109" s="510"/>
      <c r="D109" s="510"/>
      <c r="E109" s="510"/>
      <c r="F109" s="505"/>
      <c r="G109" s="507"/>
      <c r="H109" s="515"/>
      <c r="I109" s="510"/>
      <c r="J109" s="505"/>
      <c r="K109" s="510"/>
      <c r="L109" s="503"/>
    </row>
    <row r="110">
      <c r="A110" s="499"/>
      <c r="B110" s="510"/>
      <c r="C110" s="510"/>
      <c r="D110" s="510"/>
      <c r="E110" s="510"/>
      <c r="F110" s="505"/>
      <c r="G110" s="507"/>
      <c r="H110" s="515"/>
      <c r="I110" s="510"/>
      <c r="J110" s="505"/>
      <c r="K110" s="510"/>
      <c r="L110" s="503"/>
    </row>
    <row r="111">
      <c r="A111" s="499"/>
      <c r="B111" s="510"/>
      <c r="C111" s="510"/>
      <c r="D111" s="510"/>
      <c r="E111" s="510"/>
      <c r="F111" s="505"/>
      <c r="G111" s="507"/>
      <c r="H111" s="515"/>
      <c r="I111" s="510"/>
      <c r="J111" s="505"/>
      <c r="K111" s="510"/>
      <c r="L111" s="503"/>
    </row>
    <row r="112">
      <c r="A112" s="499"/>
      <c r="B112" s="510"/>
      <c r="C112" s="510"/>
      <c r="D112" s="510"/>
      <c r="E112" s="510"/>
      <c r="F112" s="505"/>
      <c r="G112" s="507"/>
      <c r="H112" s="515"/>
      <c r="I112" s="510"/>
      <c r="J112" s="505"/>
      <c r="K112" s="510"/>
      <c r="L112" s="503"/>
    </row>
    <row r="113">
      <c r="A113" s="499"/>
      <c r="B113" s="510"/>
      <c r="C113" s="510"/>
      <c r="D113" s="510"/>
      <c r="E113" s="510"/>
      <c r="F113" s="505"/>
      <c r="G113" s="507"/>
      <c r="H113" s="515"/>
      <c r="I113" s="510"/>
      <c r="J113" s="505"/>
      <c r="K113" s="510"/>
      <c r="L113" s="503"/>
    </row>
    <row r="114">
      <c r="A114" s="499"/>
      <c r="B114" s="510"/>
      <c r="C114" s="510"/>
      <c r="D114" s="510"/>
      <c r="E114" s="510"/>
      <c r="F114" s="505"/>
      <c r="G114" s="507"/>
      <c r="H114" s="515"/>
      <c r="I114" s="510"/>
      <c r="J114" s="505"/>
      <c r="K114" s="510"/>
      <c r="L114" s="503"/>
    </row>
    <row r="115">
      <c r="A115" s="499"/>
      <c r="B115" s="510"/>
      <c r="C115" s="510"/>
      <c r="D115" s="510"/>
      <c r="E115" s="510"/>
      <c r="F115" s="505"/>
      <c r="G115" s="507"/>
      <c r="H115" s="515"/>
      <c r="I115" s="510"/>
      <c r="J115" s="505"/>
      <c r="K115" s="510"/>
      <c r="L115" s="503"/>
    </row>
    <row r="116">
      <c r="A116" s="499"/>
      <c r="B116" s="510"/>
      <c r="C116" s="510"/>
      <c r="D116" s="510"/>
      <c r="E116" s="510"/>
      <c r="F116" s="505"/>
      <c r="G116" s="507"/>
      <c r="H116" s="515"/>
      <c r="I116" s="510"/>
      <c r="J116" s="505"/>
      <c r="K116" s="510"/>
      <c r="L116" s="503"/>
    </row>
    <row r="117">
      <c r="A117" s="499"/>
      <c r="B117" s="510"/>
      <c r="C117" s="510"/>
      <c r="D117" s="510"/>
      <c r="E117" s="510"/>
      <c r="F117" s="505"/>
      <c r="G117" s="507"/>
      <c r="H117" s="515"/>
      <c r="I117" s="510"/>
      <c r="J117" s="505"/>
      <c r="K117" s="510"/>
      <c r="L117" s="503"/>
    </row>
    <row r="118">
      <c r="A118" s="499"/>
      <c r="B118" s="510"/>
      <c r="C118" s="510"/>
      <c r="D118" s="510"/>
      <c r="E118" s="510"/>
      <c r="F118" s="505"/>
      <c r="G118" s="507"/>
      <c r="H118" s="515"/>
      <c r="I118" s="510"/>
      <c r="J118" s="505"/>
      <c r="K118" s="510"/>
      <c r="L118" s="503"/>
    </row>
    <row r="119">
      <c r="A119" s="499"/>
      <c r="B119" s="510"/>
      <c r="C119" s="510"/>
      <c r="D119" s="510"/>
      <c r="E119" s="510"/>
      <c r="F119" s="505"/>
      <c r="G119" s="507"/>
      <c r="H119" s="515"/>
      <c r="I119" s="510"/>
      <c r="J119" s="505"/>
      <c r="K119" s="510"/>
      <c r="L119" s="503"/>
    </row>
    <row r="120">
      <c r="A120" s="499"/>
      <c r="B120" s="510"/>
      <c r="C120" s="510"/>
      <c r="D120" s="510"/>
      <c r="E120" s="510"/>
      <c r="F120" s="505"/>
      <c r="G120" s="507"/>
      <c r="H120" s="515"/>
      <c r="I120" s="510"/>
      <c r="J120" s="505"/>
      <c r="K120" s="510"/>
      <c r="L120" s="503"/>
    </row>
    <row r="121">
      <c r="A121" s="499"/>
      <c r="B121" s="510"/>
      <c r="C121" s="510"/>
      <c r="D121" s="510"/>
      <c r="E121" s="510"/>
      <c r="F121" s="505"/>
      <c r="G121" s="507"/>
      <c r="H121" s="515"/>
      <c r="I121" s="510"/>
      <c r="J121" s="505"/>
      <c r="K121" s="510"/>
      <c r="L121" s="503"/>
    </row>
    <row r="122">
      <c r="A122" s="499"/>
      <c r="B122" s="510"/>
      <c r="C122" s="510"/>
      <c r="D122" s="510"/>
      <c r="E122" s="510"/>
      <c r="F122" s="505"/>
      <c r="G122" s="507"/>
      <c r="H122" s="515"/>
      <c r="I122" s="510"/>
      <c r="J122" s="505"/>
      <c r="K122" s="510"/>
      <c r="L122" s="503"/>
    </row>
    <row r="123">
      <c r="A123" s="499"/>
      <c r="B123" s="510"/>
      <c r="C123" s="510"/>
      <c r="D123" s="510"/>
      <c r="E123" s="510"/>
      <c r="F123" s="505"/>
      <c r="G123" s="507"/>
      <c r="H123" s="515"/>
      <c r="I123" s="510"/>
      <c r="J123" s="505"/>
      <c r="K123" s="510"/>
      <c r="L123" s="503"/>
    </row>
    <row r="124">
      <c r="A124" s="499"/>
      <c r="B124" s="510"/>
      <c r="C124" s="510"/>
      <c r="D124" s="510"/>
      <c r="E124" s="510"/>
      <c r="F124" s="505"/>
      <c r="G124" s="507"/>
      <c r="H124" s="515"/>
      <c r="I124" s="510"/>
      <c r="J124" s="505"/>
      <c r="K124" s="510"/>
      <c r="L124" s="503"/>
    </row>
    <row r="125">
      <c r="A125" s="499"/>
      <c r="B125" s="510"/>
      <c r="C125" s="510"/>
      <c r="D125" s="510"/>
      <c r="E125" s="510"/>
      <c r="F125" s="505"/>
      <c r="G125" s="507"/>
      <c r="H125" s="515"/>
      <c r="I125" s="510"/>
      <c r="J125" s="505"/>
      <c r="K125" s="510"/>
      <c r="L125" s="503"/>
    </row>
    <row r="126">
      <c r="A126" s="499"/>
      <c r="B126" s="510"/>
      <c r="C126" s="510"/>
      <c r="D126" s="510"/>
      <c r="E126" s="510"/>
      <c r="F126" s="505"/>
      <c r="G126" s="507"/>
      <c r="H126" s="515"/>
      <c r="I126" s="510"/>
      <c r="J126" s="505"/>
      <c r="K126" s="510"/>
      <c r="L126" s="503"/>
    </row>
    <row r="127">
      <c r="A127" s="499"/>
      <c r="B127" s="510"/>
      <c r="C127" s="510"/>
      <c r="D127" s="510"/>
      <c r="E127" s="510"/>
      <c r="F127" s="505"/>
      <c r="G127" s="507"/>
      <c r="H127" s="515"/>
      <c r="I127" s="510"/>
      <c r="J127" s="505"/>
      <c r="K127" s="510"/>
      <c r="L127" s="503"/>
    </row>
    <row r="128">
      <c r="A128" s="499"/>
      <c r="B128" s="510"/>
      <c r="C128" s="510"/>
      <c r="D128" s="510"/>
      <c r="E128" s="510"/>
      <c r="F128" s="505"/>
      <c r="G128" s="507"/>
      <c r="H128" s="515"/>
      <c r="I128" s="510"/>
      <c r="J128" s="505"/>
      <c r="K128" s="510"/>
      <c r="L128" s="503"/>
    </row>
    <row r="129">
      <c r="A129" s="499"/>
      <c r="B129" s="510"/>
      <c r="C129" s="510"/>
      <c r="D129" s="510"/>
      <c r="E129" s="510"/>
      <c r="F129" s="505"/>
      <c r="G129" s="507"/>
      <c r="H129" s="515"/>
      <c r="I129" s="510"/>
      <c r="J129" s="505"/>
      <c r="K129" s="510"/>
      <c r="L129" s="503"/>
    </row>
    <row r="130">
      <c r="A130" s="499"/>
      <c r="B130" s="510"/>
      <c r="C130" s="510"/>
      <c r="D130" s="510"/>
      <c r="E130" s="510"/>
      <c r="F130" s="505"/>
      <c r="G130" s="507"/>
      <c r="H130" s="515"/>
      <c r="I130" s="510"/>
      <c r="J130" s="505"/>
      <c r="K130" s="510"/>
      <c r="L130" s="503"/>
    </row>
    <row r="131">
      <c r="A131" s="499"/>
      <c r="B131" s="510"/>
      <c r="C131" s="510"/>
      <c r="D131" s="510"/>
      <c r="E131" s="510"/>
      <c r="F131" s="505"/>
      <c r="G131" s="507"/>
      <c r="H131" s="515"/>
      <c r="I131" s="510"/>
      <c r="J131" s="505"/>
      <c r="K131" s="510"/>
      <c r="L131" s="503"/>
    </row>
    <row r="132">
      <c r="A132" s="499"/>
      <c r="B132" s="510"/>
      <c r="C132" s="510"/>
      <c r="D132" s="510"/>
      <c r="E132" s="510"/>
      <c r="F132" s="505"/>
      <c r="G132" s="507"/>
      <c r="H132" s="515"/>
      <c r="I132" s="510"/>
      <c r="J132" s="505"/>
      <c r="K132" s="510"/>
      <c r="L132" s="503"/>
    </row>
    <row r="133">
      <c r="A133" s="499"/>
      <c r="B133" s="510"/>
      <c r="C133" s="510"/>
      <c r="D133" s="510"/>
      <c r="E133" s="510"/>
      <c r="F133" s="505"/>
      <c r="G133" s="507"/>
      <c r="H133" s="515"/>
      <c r="I133" s="510"/>
      <c r="J133" s="505"/>
      <c r="K133" s="510"/>
      <c r="L133" s="503"/>
    </row>
    <row r="134">
      <c r="A134" s="499"/>
      <c r="B134" s="510"/>
      <c r="C134" s="510"/>
      <c r="D134" s="510"/>
      <c r="E134" s="510"/>
      <c r="F134" s="505"/>
      <c r="G134" s="507"/>
      <c r="H134" s="515"/>
      <c r="I134" s="510"/>
      <c r="J134" s="505"/>
      <c r="K134" s="510"/>
      <c r="L134" s="503"/>
    </row>
    <row r="135">
      <c r="A135" s="499"/>
      <c r="B135" s="510"/>
      <c r="C135" s="510"/>
      <c r="D135" s="510"/>
      <c r="E135" s="510"/>
      <c r="F135" s="505"/>
      <c r="G135" s="507"/>
      <c r="H135" s="515"/>
      <c r="I135" s="510"/>
      <c r="J135" s="505"/>
      <c r="K135" s="510"/>
      <c r="L135" s="503"/>
    </row>
    <row r="136">
      <c r="A136" s="499"/>
      <c r="B136" s="510"/>
      <c r="C136" s="510"/>
      <c r="D136" s="510"/>
      <c r="E136" s="510"/>
      <c r="F136" s="505"/>
      <c r="G136" s="507"/>
      <c r="H136" s="515"/>
      <c r="I136" s="510"/>
      <c r="J136" s="505"/>
      <c r="K136" s="510"/>
      <c r="L136" s="503"/>
    </row>
    <row r="137">
      <c r="A137" s="499"/>
      <c r="B137" s="510"/>
      <c r="C137" s="510"/>
      <c r="D137" s="510"/>
      <c r="E137" s="510"/>
      <c r="F137" s="505"/>
      <c r="G137" s="507"/>
      <c r="H137" s="515"/>
      <c r="I137" s="510"/>
      <c r="J137" s="505"/>
      <c r="K137" s="510"/>
      <c r="L137" s="503"/>
    </row>
    <row r="138">
      <c r="A138" s="499"/>
      <c r="B138" s="510"/>
      <c r="C138" s="510"/>
      <c r="D138" s="510"/>
      <c r="E138" s="510"/>
      <c r="F138" s="505"/>
      <c r="G138" s="507"/>
      <c r="H138" s="515"/>
      <c r="I138" s="510"/>
      <c r="J138" s="505"/>
      <c r="K138" s="510"/>
      <c r="L138" s="503"/>
    </row>
    <row r="139">
      <c r="A139" s="499"/>
      <c r="B139" s="510"/>
      <c r="C139" s="510"/>
      <c r="D139" s="510"/>
      <c r="E139" s="510"/>
      <c r="F139" s="505"/>
      <c r="G139" s="507"/>
      <c r="H139" s="515"/>
      <c r="I139" s="510"/>
      <c r="J139" s="505"/>
      <c r="K139" s="510"/>
      <c r="L139" s="503"/>
    </row>
    <row r="140">
      <c r="A140" s="499"/>
      <c r="B140" s="510"/>
      <c r="C140" s="510"/>
      <c r="D140" s="510"/>
      <c r="E140" s="510"/>
      <c r="F140" s="505"/>
      <c r="G140" s="507"/>
      <c r="H140" s="515"/>
      <c r="I140" s="510"/>
      <c r="J140" s="505"/>
      <c r="K140" s="510"/>
      <c r="L140" s="503"/>
    </row>
    <row r="141">
      <c r="A141" s="499"/>
      <c r="B141" s="510"/>
      <c r="C141" s="510"/>
      <c r="D141" s="510"/>
      <c r="E141" s="510"/>
      <c r="F141" s="505"/>
      <c r="G141" s="507"/>
      <c r="H141" s="515"/>
      <c r="I141" s="510"/>
      <c r="J141" s="505"/>
      <c r="K141" s="510"/>
      <c r="L141" s="503"/>
    </row>
    <row r="142">
      <c r="A142" s="499"/>
      <c r="B142" s="510"/>
      <c r="C142" s="510"/>
      <c r="D142" s="510"/>
      <c r="E142" s="510"/>
      <c r="F142" s="505"/>
      <c r="G142" s="507"/>
      <c r="H142" s="515"/>
      <c r="I142" s="510"/>
      <c r="J142" s="505"/>
      <c r="K142" s="510"/>
      <c r="L142" s="503"/>
    </row>
    <row r="143">
      <c r="A143" s="499"/>
      <c r="B143" s="510"/>
      <c r="C143" s="510"/>
      <c r="D143" s="510"/>
      <c r="E143" s="510"/>
      <c r="F143" s="505"/>
      <c r="G143" s="507"/>
      <c r="H143" s="515"/>
      <c r="I143" s="510"/>
      <c r="J143" s="505"/>
      <c r="K143" s="510"/>
      <c r="L143" s="503"/>
    </row>
    <row r="144">
      <c r="A144" s="499"/>
      <c r="B144" s="510"/>
      <c r="C144" s="510"/>
      <c r="D144" s="510"/>
      <c r="E144" s="510"/>
      <c r="F144" s="505"/>
      <c r="G144" s="507"/>
      <c r="H144" s="515"/>
      <c r="I144" s="510"/>
      <c r="J144" s="505"/>
      <c r="K144" s="510"/>
      <c r="L144" s="503"/>
    </row>
    <row r="145">
      <c r="A145" s="499"/>
      <c r="B145" s="510"/>
      <c r="C145" s="510"/>
      <c r="D145" s="510"/>
      <c r="E145" s="510"/>
      <c r="F145" s="505"/>
      <c r="G145" s="507"/>
      <c r="H145" s="515"/>
      <c r="I145" s="510"/>
      <c r="J145" s="505"/>
      <c r="K145" s="510"/>
      <c r="L145" s="503"/>
    </row>
    <row r="146">
      <c r="A146" s="499"/>
      <c r="B146" s="510"/>
      <c r="C146" s="510"/>
      <c r="D146" s="510"/>
      <c r="E146" s="510"/>
      <c r="F146" s="505"/>
      <c r="G146" s="507"/>
      <c r="H146" s="515"/>
      <c r="I146" s="510"/>
      <c r="J146" s="505"/>
      <c r="K146" s="510"/>
      <c r="L146" s="503"/>
    </row>
    <row r="147">
      <c r="A147" s="499"/>
      <c r="B147" s="510"/>
      <c r="C147" s="510"/>
      <c r="D147" s="510"/>
      <c r="E147" s="510"/>
      <c r="F147" s="505"/>
      <c r="G147" s="507"/>
      <c r="H147" s="515"/>
      <c r="I147" s="510"/>
      <c r="J147" s="505"/>
      <c r="K147" s="510"/>
      <c r="L147" s="503"/>
    </row>
    <row r="148">
      <c r="A148" s="499"/>
      <c r="B148" s="510"/>
      <c r="C148" s="510"/>
      <c r="D148" s="510"/>
      <c r="E148" s="510"/>
      <c r="F148" s="505"/>
      <c r="G148" s="507"/>
      <c r="H148" s="515"/>
      <c r="I148" s="510"/>
      <c r="J148" s="505"/>
      <c r="K148" s="510"/>
      <c r="L148" s="503"/>
    </row>
    <row r="149">
      <c r="A149" s="499"/>
      <c r="B149" s="510"/>
      <c r="C149" s="510"/>
      <c r="D149" s="510"/>
      <c r="E149" s="510"/>
      <c r="F149" s="505"/>
      <c r="G149" s="507"/>
      <c r="H149" s="515"/>
      <c r="I149" s="510"/>
      <c r="J149" s="505"/>
      <c r="K149" s="510"/>
      <c r="L149" s="503"/>
    </row>
    <row r="150">
      <c r="A150" s="499"/>
      <c r="B150" s="510"/>
      <c r="C150" s="510"/>
      <c r="D150" s="510"/>
      <c r="E150" s="510"/>
      <c r="F150" s="505"/>
      <c r="G150" s="507"/>
      <c r="H150" s="515"/>
      <c r="I150" s="510"/>
      <c r="J150" s="505"/>
      <c r="K150" s="510"/>
      <c r="L150" s="503"/>
    </row>
    <row r="151">
      <c r="A151" s="499"/>
      <c r="B151" s="510"/>
      <c r="C151" s="510"/>
      <c r="D151" s="510"/>
      <c r="E151" s="510"/>
      <c r="F151" s="505"/>
      <c r="G151" s="507"/>
      <c r="H151" s="515"/>
      <c r="I151" s="510"/>
      <c r="J151" s="505"/>
      <c r="K151" s="510"/>
      <c r="L151" s="503"/>
    </row>
    <row r="152">
      <c r="A152" s="499"/>
      <c r="B152" s="510"/>
      <c r="C152" s="510"/>
      <c r="D152" s="510"/>
      <c r="E152" s="510"/>
      <c r="F152" s="505"/>
      <c r="G152" s="507"/>
      <c r="H152" s="515"/>
      <c r="I152" s="510"/>
      <c r="J152" s="505"/>
      <c r="K152" s="510"/>
      <c r="L152" s="503"/>
    </row>
    <row r="153">
      <c r="A153" s="499"/>
      <c r="B153" s="510"/>
      <c r="C153" s="510"/>
      <c r="D153" s="510"/>
      <c r="E153" s="510"/>
      <c r="F153" s="505"/>
      <c r="G153" s="507"/>
      <c r="H153" s="515"/>
      <c r="I153" s="510"/>
      <c r="J153" s="505"/>
      <c r="K153" s="510"/>
      <c r="L153" s="503"/>
    </row>
    <row r="154">
      <c r="A154" s="499"/>
      <c r="B154" s="510"/>
      <c r="C154" s="510"/>
      <c r="D154" s="510"/>
      <c r="E154" s="510"/>
      <c r="F154" s="505"/>
      <c r="G154" s="507"/>
      <c r="H154" s="515"/>
      <c r="I154" s="510"/>
      <c r="J154" s="505"/>
      <c r="K154" s="510"/>
      <c r="L154" s="503"/>
    </row>
    <row r="155">
      <c r="A155" s="499"/>
      <c r="B155" s="510"/>
      <c r="C155" s="510"/>
      <c r="D155" s="510"/>
      <c r="E155" s="510"/>
      <c r="F155" s="505"/>
      <c r="G155" s="507"/>
      <c r="H155" s="515"/>
      <c r="I155" s="510"/>
      <c r="J155" s="505"/>
      <c r="K155" s="510"/>
      <c r="L155" s="503"/>
    </row>
    <row r="156">
      <c r="A156" s="499"/>
      <c r="B156" s="510"/>
      <c r="C156" s="510"/>
      <c r="D156" s="510"/>
      <c r="E156" s="510"/>
      <c r="F156" s="505"/>
      <c r="G156" s="507"/>
      <c r="H156" s="515"/>
      <c r="I156" s="510"/>
      <c r="J156" s="505"/>
      <c r="K156" s="510"/>
      <c r="L156" s="503"/>
    </row>
    <row r="157">
      <c r="A157" s="499"/>
      <c r="B157" s="510"/>
      <c r="C157" s="510"/>
      <c r="D157" s="510"/>
      <c r="E157" s="510"/>
      <c r="F157" s="505"/>
      <c r="G157" s="507"/>
      <c r="H157" s="515"/>
      <c r="I157" s="510"/>
      <c r="J157" s="505"/>
      <c r="K157" s="510"/>
      <c r="L157" s="503"/>
    </row>
    <row r="158">
      <c r="A158" s="499"/>
      <c r="B158" s="510"/>
      <c r="C158" s="510"/>
      <c r="D158" s="510"/>
      <c r="E158" s="510"/>
      <c r="F158" s="505"/>
      <c r="G158" s="507"/>
      <c r="H158" s="515"/>
      <c r="I158" s="510"/>
      <c r="J158" s="505"/>
      <c r="K158" s="510"/>
      <c r="L158" s="503"/>
    </row>
    <row r="159">
      <c r="A159" s="499"/>
      <c r="B159" s="510"/>
      <c r="C159" s="510"/>
      <c r="D159" s="510"/>
      <c r="E159" s="510"/>
      <c r="F159" s="505"/>
      <c r="G159" s="507"/>
      <c r="H159" s="515"/>
      <c r="I159" s="510"/>
      <c r="J159" s="505"/>
      <c r="K159" s="510"/>
      <c r="L159" s="503"/>
    </row>
    <row r="160">
      <c r="A160" s="499"/>
      <c r="B160" s="510"/>
      <c r="C160" s="510"/>
      <c r="D160" s="510"/>
      <c r="E160" s="510"/>
      <c r="F160" s="505"/>
      <c r="G160" s="507"/>
      <c r="H160" s="515"/>
      <c r="I160" s="510"/>
      <c r="J160" s="505"/>
      <c r="K160" s="510"/>
      <c r="L160" s="503"/>
    </row>
    <row r="161">
      <c r="A161" s="499"/>
      <c r="B161" s="510"/>
      <c r="C161" s="510"/>
      <c r="D161" s="510"/>
      <c r="E161" s="510"/>
      <c r="F161" s="505"/>
      <c r="G161" s="507"/>
      <c r="H161" s="515"/>
      <c r="I161" s="510"/>
      <c r="J161" s="505"/>
      <c r="K161" s="510"/>
      <c r="L161" s="503"/>
    </row>
    <row r="162">
      <c r="A162" s="499"/>
      <c r="B162" s="510"/>
      <c r="C162" s="510"/>
      <c r="D162" s="510"/>
      <c r="E162" s="510"/>
      <c r="F162" s="505"/>
      <c r="G162" s="507"/>
      <c r="H162" s="515"/>
      <c r="I162" s="510"/>
      <c r="J162" s="505"/>
      <c r="K162" s="510"/>
      <c r="L162" s="503"/>
    </row>
    <row r="163">
      <c r="A163" s="499"/>
      <c r="B163" s="510"/>
      <c r="C163" s="510"/>
      <c r="D163" s="510"/>
      <c r="E163" s="510"/>
      <c r="F163" s="505"/>
      <c r="G163" s="507"/>
      <c r="H163" s="515"/>
      <c r="I163" s="510"/>
      <c r="J163" s="505"/>
      <c r="K163" s="510"/>
      <c r="L163" s="503"/>
    </row>
    <row r="164">
      <c r="A164" s="499"/>
      <c r="B164" s="510"/>
      <c r="C164" s="510"/>
      <c r="D164" s="510"/>
      <c r="E164" s="510"/>
      <c r="F164" s="505"/>
      <c r="G164" s="507"/>
      <c r="H164" s="515"/>
      <c r="I164" s="510"/>
      <c r="J164" s="505"/>
      <c r="K164" s="510"/>
      <c r="L164" s="503"/>
    </row>
    <row r="165">
      <c r="A165" s="499"/>
      <c r="B165" s="510"/>
      <c r="C165" s="510"/>
      <c r="D165" s="510"/>
      <c r="E165" s="510"/>
      <c r="F165" s="505"/>
      <c r="G165" s="507"/>
      <c r="H165" s="515"/>
      <c r="I165" s="510"/>
      <c r="J165" s="505"/>
      <c r="K165" s="510"/>
      <c r="L165" s="503"/>
    </row>
    <row r="166">
      <c r="A166" s="499"/>
      <c r="B166" s="510"/>
      <c r="C166" s="510"/>
      <c r="D166" s="510"/>
      <c r="E166" s="510"/>
      <c r="F166" s="505"/>
      <c r="G166" s="507"/>
      <c r="H166" s="515"/>
      <c r="I166" s="510"/>
      <c r="J166" s="505"/>
      <c r="K166" s="510"/>
      <c r="L166" s="503"/>
    </row>
    <row r="167">
      <c r="A167" s="499"/>
      <c r="B167" s="510"/>
      <c r="C167" s="510"/>
      <c r="D167" s="510"/>
      <c r="E167" s="510"/>
      <c r="F167" s="505"/>
      <c r="G167" s="507"/>
      <c r="H167" s="515"/>
      <c r="I167" s="510"/>
      <c r="J167" s="505"/>
      <c r="K167" s="510"/>
      <c r="L167" s="503"/>
    </row>
    <row r="168">
      <c r="A168" s="499"/>
      <c r="B168" s="510"/>
      <c r="C168" s="510"/>
      <c r="D168" s="510"/>
      <c r="E168" s="510"/>
      <c r="F168" s="505"/>
      <c r="G168" s="507"/>
      <c r="H168" s="515"/>
      <c r="I168" s="510"/>
      <c r="J168" s="505"/>
      <c r="K168" s="510"/>
      <c r="L168" s="503"/>
    </row>
    <row r="169">
      <c r="A169" s="499"/>
      <c r="B169" s="510"/>
      <c r="C169" s="510"/>
      <c r="D169" s="510"/>
      <c r="E169" s="510"/>
      <c r="F169" s="505"/>
      <c r="G169" s="507"/>
      <c r="H169" s="515"/>
      <c r="I169" s="510"/>
      <c r="J169" s="505"/>
      <c r="K169" s="510"/>
      <c r="L169" s="503"/>
    </row>
    <row r="170">
      <c r="A170" s="499"/>
      <c r="B170" s="510"/>
      <c r="C170" s="510"/>
      <c r="D170" s="510"/>
      <c r="E170" s="510"/>
      <c r="F170" s="505"/>
      <c r="G170" s="507"/>
      <c r="H170" s="515"/>
      <c r="I170" s="510"/>
      <c r="J170" s="505"/>
      <c r="K170" s="510"/>
      <c r="L170" s="503"/>
    </row>
    <row r="171">
      <c r="A171" s="499"/>
      <c r="B171" s="510"/>
      <c r="C171" s="510"/>
      <c r="D171" s="510"/>
      <c r="E171" s="510"/>
      <c r="F171" s="505"/>
      <c r="G171" s="507"/>
      <c r="H171" s="515"/>
      <c r="I171" s="510"/>
      <c r="J171" s="505"/>
      <c r="K171" s="510"/>
      <c r="L171" s="503"/>
    </row>
    <row r="172">
      <c r="A172" s="499"/>
      <c r="B172" s="510"/>
      <c r="C172" s="510"/>
      <c r="D172" s="510"/>
      <c r="E172" s="510"/>
      <c r="F172" s="505"/>
      <c r="G172" s="507"/>
      <c r="H172" s="515"/>
      <c r="I172" s="510"/>
      <c r="J172" s="505"/>
      <c r="K172" s="510"/>
      <c r="L172" s="503"/>
    </row>
    <row r="173">
      <c r="A173" s="499"/>
      <c r="B173" s="510"/>
      <c r="C173" s="510"/>
      <c r="D173" s="510"/>
      <c r="E173" s="510"/>
      <c r="F173" s="505"/>
      <c r="G173" s="507"/>
      <c r="H173" s="515"/>
      <c r="I173" s="510"/>
      <c r="J173" s="505"/>
      <c r="K173" s="510"/>
      <c r="L173" s="503"/>
    </row>
    <row r="174">
      <c r="A174" s="499"/>
      <c r="B174" s="510"/>
      <c r="C174" s="510"/>
      <c r="D174" s="510"/>
      <c r="E174" s="510"/>
      <c r="F174" s="505"/>
      <c r="G174" s="507"/>
      <c r="H174" s="515"/>
      <c r="I174" s="510"/>
      <c r="J174" s="505"/>
      <c r="K174" s="510"/>
      <c r="L174" s="503"/>
    </row>
    <row r="175">
      <c r="A175" s="499"/>
      <c r="B175" s="510"/>
      <c r="C175" s="510"/>
      <c r="D175" s="510"/>
      <c r="E175" s="510"/>
      <c r="F175" s="505"/>
      <c r="G175" s="507"/>
      <c r="H175" s="515"/>
      <c r="I175" s="510"/>
      <c r="J175" s="505"/>
      <c r="K175" s="510"/>
      <c r="L175" s="503"/>
    </row>
    <row r="176">
      <c r="A176" s="499"/>
      <c r="B176" s="510"/>
      <c r="C176" s="510"/>
      <c r="D176" s="510"/>
      <c r="E176" s="510"/>
      <c r="F176" s="505"/>
      <c r="G176" s="507"/>
      <c r="H176" s="515"/>
      <c r="I176" s="510"/>
      <c r="J176" s="505"/>
      <c r="K176" s="510"/>
      <c r="L176" s="503"/>
    </row>
    <row r="177">
      <c r="A177" s="499"/>
      <c r="B177" s="510"/>
      <c r="C177" s="510"/>
      <c r="D177" s="510"/>
      <c r="E177" s="510"/>
      <c r="F177" s="505"/>
      <c r="G177" s="507"/>
      <c r="H177" s="515"/>
      <c r="I177" s="510"/>
      <c r="J177" s="505"/>
      <c r="K177" s="510"/>
      <c r="L177" s="503"/>
    </row>
    <row r="178">
      <c r="A178" s="499"/>
      <c r="B178" s="510"/>
      <c r="C178" s="510"/>
      <c r="D178" s="510"/>
      <c r="E178" s="510"/>
      <c r="F178" s="505"/>
      <c r="G178" s="507"/>
      <c r="H178" s="515"/>
      <c r="I178" s="510"/>
      <c r="J178" s="505"/>
      <c r="K178" s="510"/>
      <c r="L178" s="503"/>
    </row>
    <row r="179">
      <c r="A179" s="499"/>
      <c r="B179" s="510"/>
      <c r="C179" s="510"/>
      <c r="D179" s="510"/>
      <c r="E179" s="510"/>
      <c r="F179" s="505"/>
      <c r="G179" s="507"/>
      <c r="H179" s="515"/>
      <c r="I179" s="510"/>
      <c r="J179" s="505"/>
      <c r="K179" s="510"/>
      <c r="L179" s="503"/>
    </row>
    <row r="180">
      <c r="A180" s="499"/>
      <c r="B180" s="510"/>
      <c r="C180" s="510"/>
      <c r="D180" s="510"/>
      <c r="E180" s="510"/>
      <c r="F180" s="505"/>
      <c r="G180" s="507"/>
      <c r="H180" s="515"/>
      <c r="I180" s="510"/>
      <c r="J180" s="505"/>
      <c r="K180" s="510"/>
      <c r="L180" s="503"/>
    </row>
    <row r="181">
      <c r="A181" s="499"/>
      <c r="B181" s="510"/>
      <c r="C181" s="510"/>
      <c r="D181" s="510"/>
      <c r="E181" s="510"/>
      <c r="F181" s="505"/>
      <c r="G181" s="507"/>
      <c r="H181" s="515"/>
      <c r="I181" s="510"/>
      <c r="J181" s="505"/>
      <c r="K181" s="510"/>
      <c r="L181" s="503"/>
    </row>
    <row r="182">
      <c r="A182" s="499"/>
      <c r="B182" s="510"/>
      <c r="C182" s="510"/>
      <c r="D182" s="510"/>
      <c r="E182" s="510"/>
      <c r="F182" s="505"/>
      <c r="G182" s="507"/>
      <c r="H182" s="515"/>
      <c r="I182" s="510"/>
      <c r="J182" s="505"/>
      <c r="K182" s="510"/>
      <c r="L182" s="503"/>
    </row>
    <row r="183">
      <c r="A183" s="499"/>
      <c r="B183" s="510"/>
      <c r="C183" s="510"/>
      <c r="D183" s="510"/>
      <c r="E183" s="510"/>
      <c r="F183" s="505"/>
      <c r="G183" s="507"/>
      <c r="H183" s="515"/>
      <c r="I183" s="510"/>
      <c r="J183" s="505"/>
      <c r="K183" s="510"/>
      <c r="L183" s="503"/>
    </row>
    <row r="184">
      <c r="A184" s="499"/>
      <c r="B184" s="510"/>
      <c r="C184" s="510"/>
      <c r="D184" s="510"/>
      <c r="E184" s="510"/>
      <c r="F184" s="505"/>
      <c r="G184" s="507"/>
      <c r="H184" s="515"/>
      <c r="I184" s="510"/>
      <c r="J184" s="505"/>
      <c r="K184" s="510"/>
      <c r="L184" s="503"/>
    </row>
    <row r="185">
      <c r="A185" s="499"/>
      <c r="B185" s="510"/>
      <c r="C185" s="510"/>
      <c r="D185" s="510"/>
      <c r="E185" s="510"/>
      <c r="F185" s="505"/>
      <c r="G185" s="507"/>
      <c r="H185" s="515"/>
      <c r="I185" s="510"/>
      <c r="J185" s="505"/>
      <c r="K185" s="510"/>
      <c r="L185" s="503"/>
    </row>
    <row r="186">
      <c r="A186" s="499"/>
      <c r="B186" s="510"/>
      <c r="C186" s="510"/>
      <c r="D186" s="510"/>
      <c r="E186" s="510"/>
      <c r="F186" s="505"/>
      <c r="G186" s="507"/>
      <c r="H186" s="515"/>
      <c r="I186" s="510"/>
      <c r="J186" s="505"/>
      <c r="K186" s="510"/>
      <c r="L186" s="503"/>
    </row>
    <row r="187">
      <c r="A187" s="499"/>
      <c r="B187" s="510"/>
      <c r="C187" s="510"/>
      <c r="D187" s="510"/>
      <c r="E187" s="510"/>
      <c r="F187" s="505"/>
      <c r="G187" s="507"/>
      <c r="H187" s="515"/>
      <c r="I187" s="510"/>
      <c r="J187" s="505"/>
      <c r="K187" s="510"/>
      <c r="L187" s="503"/>
    </row>
    <row r="188">
      <c r="A188" s="499"/>
      <c r="B188" s="510"/>
      <c r="C188" s="510"/>
      <c r="D188" s="510"/>
      <c r="E188" s="510"/>
      <c r="F188" s="505"/>
      <c r="G188" s="507"/>
      <c r="H188" s="515"/>
      <c r="I188" s="510"/>
      <c r="J188" s="505"/>
      <c r="K188" s="510"/>
      <c r="L188" s="503"/>
    </row>
    <row r="189">
      <c r="A189" s="499"/>
      <c r="B189" s="510"/>
      <c r="C189" s="510"/>
      <c r="D189" s="510"/>
      <c r="E189" s="510"/>
      <c r="F189" s="505"/>
      <c r="G189" s="507"/>
      <c r="H189" s="515"/>
      <c r="I189" s="510"/>
      <c r="J189" s="505"/>
      <c r="K189" s="510"/>
      <c r="L189" s="503"/>
    </row>
    <row r="190">
      <c r="A190" s="499"/>
      <c r="B190" s="510"/>
      <c r="C190" s="510"/>
      <c r="D190" s="510"/>
      <c r="E190" s="510"/>
      <c r="F190" s="505"/>
      <c r="G190" s="507"/>
      <c r="H190" s="515"/>
      <c r="I190" s="510"/>
      <c r="J190" s="505"/>
      <c r="K190" s="510"/>
      <c r="L190" s="503"/>
    </row>
    <row r="191">
      <c r="A191" s="499"/>
      <c r="B191" s="510"/>
      <c r="C191" s="510"/>
      <c r="D191" s="510"/>
      <c r="E191" s="510"/>
      <c r="F191" s="505"/>
      <c r="G191" s="507"/>
      <c r="H191" s="515"/>
      <c r="I191" s="510"/>
      <c r="J191" s="505"/>
      <c r="K191" s="510"/>
      <c r="L191" s="503"/>
    </row>
    <row r="192">
      <c r="A192" s="499"/>
      <c r="B192" s="510"/>
      <c r="C192" s="510"/>
      <c r="D192" s="510"/>
      <c r="E192" s="510"/>
      <c r="F192" s="505"/>
      <c r="G192" s="507"/>
      <c r="H192" s="515"/>
      <c r="I192" s="510"/>
      <c r="J192" s="505"/>
      <c r="K192" s="510"/>
      <c r="L192" s="503"/>
    </row>
    <row r="193">
      <c r="A193" s="499"/>
      <c r="B193" s="510"/>
      <c r="C193" s="510"/>
      <c r="D193" s="510"/>
      <c r="E193" s="510"/>
      <c r="F193" s="505"/>
      <c r="G193" s="507"/>
      <c r="H193" s="515"/>
      <c r="I193" s="510"/>
      <c r="J193" s="505"/>
      <c r="K193" s="510"/>
      <c r="L193" s="503"/>
    </row>
    <row r="194">
      <c r="A194" s="499"/>
      <c r="B194" s="510"/>
      <c r="C194" s="510"/>
      <c r="D194" s="510"/>
      <c r="E194" s="510"/>
      <c r="F194" s="505"/>
      <c r="G194" s="507"/>
      <c r="H194" s="515"/>
      <c r="I194" s="510"/>
      <c r="J194" s="505"/>
      <c r="K194" s="510"/>
      <c r="L194" s="503"/>
    </row>
    <row r="195">
      <c r="A195" s="499"/>
      <c r="B195" s="510"/>
      <c r="C195" s="510"/>
      <c r="D195" s="510"/>
      <c r="E195" s="510"/>
      <c r="F195" s="505"/>
      <c r="G195" s="507"/>
      <c r="H195" s="515"/>
      <c r="I195" s="510"/>
      <c r="J195" s="505"/>
      <c r="K195" s="510"/>
      <c r="L195" s="503"/>
    </row>
    <row r="196">
      <c r="A196" s="499"/>
      <c r="B196" s="510"/>
      <c r="C196" s="510"/>
      <c r="D196" s="510"/>
      <c r="E196" s="510"/>
      <c r="F196" s="505"/>
      <c r="G196" s="507"/>
      <c r="H196" s="515"/>
      <c r="I196" s="510"/>
      <c r="J196" s="505"/>
      <c r="K196" s="510"/>
      <c r="L196" s="503"/>
    </row>
    <row r="197">
      <c r="A197" s="499"/>
      <c r="B197" s="510"/>
      <c r="C197" s="510"/>
      <c r="D197" s="510"/>
      <c r="E197" s="510"/>
      <c r="F197" s="505"/>
      <c r="G197" s="507"/>
      <c r="H197" s="515"/>
      <c r="I197" s="510"/>
      <c r="J197" s="505"/>
      <c r="K197" s="510"/>
      <c r="L197" s="503"/>
    </row>
    <row r="198">
      <c r="A198" s="499"/>
      <c r="B198" s="510"/>
      <c r="C198" s="510"/>
      <c r="D198" s="510"/>
      <c r="E198" s="510"/>
      <c r="F198" s="505"/>
      <c r="G198" s="507"/>
      <c r="H198" s="515"/>
      <c r="I198" s="510"/>
      <c r="J198" s="505"/>
      <c r="K198" s="510"/>
      <c r="L198" s="503"/>
    </row>
    <row r="199">
      <c r="A199" s="499"/>
      <c r="B199" s="510"/>
      <c r="C199" s="510"/>
      <c r="D199" s="510"/>
      <c r="E199" s="510"/>
      <c r="F199" s="505"/>
      <c r="G199" s="507"/>
      <c r="H199" s="515"/>
      <c r="I199" s="510"/>
      <c r="J199" s="505"/>
      <c r="K199" s="510"/>
      <c r="L199" s="503"/>
    </row>
    <row r="200">
      <c r="A200" s="499"/>
      <c r="B200" s="510"/>
      <c r="C200" s="510"/>
      <c r="D200" s="510"/>
      <c r="E200" s="510"/>
      <c r="F200" s="505"/>
      <c r="G200" s="507"/>
      <c r="H200" s="515"/>
      <c r="I200" s="510"/>
      <c r="J200" s="505"/>
      <c r="K200" s="510"/>
      <c r="L200" s="503"/>
    </row>
    <row r="201">
      <c r="A201" s="499"/>
      <c r="B201" s="510"/>
      <c r="C201" s="510"/>
      <c r="D201" s="510"/>
      <c r="E201" s="510"/>
      <c r="F201" s="505"/>
      <c r="G201" s="507"/>
      <c r="H201" s="515"/>
      <c r="I201" s="510"/>
      <c r="J201" s="505"/>
      <c r="K201" s="510"/>
      <c r="L201" s="503"/>
    </row>
    <row r="202">
      <c r="A202" s="499"/>
      <c r="B202" s="510"/>
      <c r="C202" s="510"/>
      <c r="D202" s="510"/>
      <c r="E202" s="510"/>
      <c r="F202" s="505"/>
      <c r="G202" s="507"/>
      <c r="H202" s="515"/>
      <c r="I202" s="510"/>
      <c r="J202" s="505"/>
      <c r="K202" s="510"/>
      <c r="L202" s="503"/>
    </row>
    <row r="203">
      <c r="A203" s="499"/>
      <c r="B203" s="510"/>
      <c r="C203" s="510"/>
      <c r="D203" s="510"/>
      <c r="E203" s="510"/>
      <c r="F203" s="505"/>
      <c r="G203" s="507"/>
      <c r="H203" s="515"/>
      <c r="I203" s="510"/>
      <c r="J203" s="505"/>
      <c r="K203" s="510"/>
      <c r="L203" s="503"/>
    </row>
    <row r="204">
      <c r="A204" s="499"/>
      <c r="B204" s="510"/>
      <c r="C204" s="510"/>
      <c r="D204" s="510"/>
      <c r="E204" s="510"/>
      <c r="F204" s="505"/>
      <c r="G204" s="507"/>
      <c r="H204" s="515"/>
      <c r="I204" s="510"/>
      <c r="J204" s="505"/>
      <c r="K204" s="510"/>
      <c r="L204" s="503"/>
    </row>
    <row r="205">
      <c r="A205" s="499"/>
      <c r="B205" s="510"/>
      <c r="C205" s="510"/>
      <c r="D205" s="510"/>
      <c r="E205" s="510"/>
      <c r="F205" s="505"/>
      <c r="G205" s="507"/>
      <c r="H205" s="515"/>
      <c r="I205" s="510"/>
      <c r="J205" s="505"/>
      <c r="K205" s="510"/>
      <c r="L205" s="503"/>
    </row>
    <row r="206">
      <c r="A206" s="499"/>
      <c r="B206" s="510"/>
      <c r="C206" s="510"/>
      <c r="D206" s="510"/>
      <c r="E206" s="510"/>
      <c r="F206" s="505"/>
      <c r="G206" s="507"/>
      <c r="H206" s="515"/>
      <c r="I206" s="510"/>
      <c r="J206" s="505"/>
      <c r="K206" s="510"/>
      <c r="L206" s="503"/>
    </row>
    <row r="207">
      <c r="A207" s="499"/>
      <c r="B207" s="510"/>
      <c r="C207" s="510"/>
      <c r="D207" s="510"/>
      <c r="E207" s="510"/>
      <c r="F207" s="505"/>
      <c r="G207" s="507"/>
      <c r="H207" s="515"/>
      <c r="I207" s="510"/>
      <c r="J207" s="505"/>
      <c r="K207" s="510"/>
      <c r="L207" s="503"/>
    </row>
    <row r="208">
      <c r="A208" s="499"/>
      <c r="B208" s="510"/>
      <c r="C208" s="510"/>
      <c r="D208" s="510"/>
      <c r="E208" s="510"/>
      <c r="F208" s="505"/>
      <c r="G208" s="507"/>
      <c r="H208" s="515"/>
      <c r="I208" s="510"/>
      <c r="J208" s="505"/>
      <c r="K208" s="510"/>
      <c r="L208" s="503"/>
    </row>
    <row r="209">
      <c r="A209" s="499"/>
      <c r="B209" s="510"/>
      <c r="C209" s="510"/>
      <c r="D209" s="510"/>
      <c r="E209" s="510"/>
      <c r="F209" s="505"/>
      <c r="G209" s="507"/>
      <c r="H209" s="515"/>
      <c r="I209" s="510"/>
      <c r="J209" s="505"/>
      <c r="K209" s="510"/>
      <c r="L209" s="503"/>
    </row>
    <row r="210">
      <c r="A210" s="499"/>
      <c r="B210" s="510"/>
      <c r="C210" s="510"/>
      <c r="D210" s="510"/>
      <c r="E210" s="510"/>
      <c r="F210" s="505"/>
      <c r="G210" s="507"/>
      <c r="H210" s="515"/>
      <c r="I210" s="510"/>
      <c r="J210" s="505"/>
      <c r="K210" s="510"/>
      <c r="L210" s="503"/>
    </row>
    <row r="211">
      <c r="A211" s="499"/>
      <c r="B211" s="510"/>
      <c r="C211" s="510"/>
      <c r="D211" s="510"/>
      <c r="E211" s="510"/>
      <c r="F211" s="505"/>
      <c r="G211" s="507"/>
      <c r="H211" s="515"/>
      <c r="I211" s="510"/>
      <c r="J211" s="505"/>
      <c r="K211" s="510"/>
      <c r="L211" s="503"/>
    </row>
    <row r="212">
      <c r="A212" s="499"/>
      <c r="B212" s="510"/>
      <c r="C212" s="510"/>
      <c r="D212" s="510"/>
      <c r="E212" s="510"/>
      <c r="F212" s="505"/>
      <c r="G212" s="507"/>
      <c r="H212" s="515"/>
      <c r="I212" s="510"/>
      <c r="J212" s="505"/>
      <c r="K212" s="510"/>
      <c r="L212" s="503"/>
    </row>
    <row r="213">
      <c r="A213" s="499"/>
      <c r="B213" s="510"/>
      <c r="C213" s="510"/>
      <c r="D213" s="510"/>
      <c r="E213" s="510"/>
      <c r="F213" s="505"/>
      <c r="G213" s="507"/>
      <c r="H213" s="515"/>
      <c r="I213" s="510"/>
      <c r="J213" s="505"/>
      <c r="K213" s="510"/>
      <c r="L213" s="503"/>
    </row>
    <row r="214">
      <c r="A214" s="499"/>
      <c r="B214" s="510"/>
      <c r="C214" s="510"/>
      <c r="D214" s="510"/>
      <c r="E214" s="510"/>
      <c r="F214" s="505"/>
      <c r="G214" s="507"/>
      <c r="H214" s="515"/>
      <c r="I214" s="510"/>
      <c r="J214" s="505"/>
      <c r="K214" s="510"/>
      <c r="L214" s="503"/>
    </row>
    <row r="215">
      <c r="A215" s="499"/>
      <c r="B215" s="510"/>
      <c r="C215" s="510"/>
      <c r="D215" s="510"/>
      <c r="E215" s="510"/>
      <c r="F215" s="505"/>
      <c r="G215" s="507"/>
      <c r="H215" s="515"/>
      <c r="I215" s="510"/>
      <c r="J215" s="505"/>
      <c r="K215" s="510"/>
      <c r="L215" s="503"/>
    </row>
    <row r="216">
      <c r="A216" s="499"/>
      <c r="B216" s="510"/>
      <c r="C216" s="510"/>
      <c r="D216" s="510"/>
      <c r="E216" s="510"/>
      <c r="F216" s="505"/>
      <c r="G216" s="507"/>
      <c r="H216" s="515"/>
      <c r="I216" s="510"/>
      <c r="J216" s="505"/>
      <c r="K216" s="510"/>
      <c r="L216" s="503"/>
    </row>
    <row r="217">
      <c r="A217" s="499"/>
      <c r="B217" s="510"/>
      <c r="C217" s="510"/>
      <c r="D217" s="510"/>
      <c r="E217" s="510"/>
      <c r="F217" s="505"/>
      <c r="G217" s="507"/>
      <c r="H217" s="515"/>
      <c r="I217" s="510"/>
      <c r="J217" s="505"/>
      <c r="K217" s="510"/>
      <c r="L217" s="503"/>
    </row>
    <row r="218">
      <c r="A218" s="499"/>
      <c r="B218" s="510"/>
      <c r="C218" s="510"/>
      <c r="D218" s="510"/>
      <c r="E218" s="510"/>
      <c r="F218" s="505"/>
      <c r="G218" s="507"/>
      <c r="H218" s="515"/>
      <c r="I218" s="510"/>
      <c r="J218" s="505"/>
      <c r="K218" s="510"/>
      <c r="L218" s="503"/>
    </row>
    <row r="219">
      <c r="A219" s="499"/>
      <c r="B219" s="510"/>
      <c r="C219" s="510"/>
      <c r="D219" s="510"/>
      <c r="E219" s="510"/>
      <c r="F219" s="505"/>
      <c r="G219" s="507"/>
      <c r="H219" s="515"/>
      <c r="I219" s="510"/>
      <c r="J219" s="505"/>
      <c r="K219" s="510"/>
      <c r="L219" s="503"/>
    </row>
    <row r="220">
      <c r="A220" s="499"/>
      <c r="B220" s="510"/>
      <c r="C220" s="510"/>
      <c r="D220" s="510"/>
      <c r="E220" s="510"/>
      <c r="F220" s="505"/>
      <c r="G220" s="507"/>
      <c r="H220" s="515"/>
      <c r="I220" s="510"/>
      <c r="J220" s="505"/>
      <c r="K220" s="510"/>
      <c r="L220" s="503"/>
    </row>
    <row r="221">
      <c r="A221" s="499"/>
      <c r="B221" s="510"/>
      <c r="C221" s="510"/>
      <c r="D221" s="510"/>
      <c r="E221" s="510"/>
      <c r="F221" s="505"/>
      <c r="G221" s="507"/>
      <c r="H221" s="515"/>
      <c r="I221" s="510"/>
      <c r="J221" s="505"/>
      <c r="K221" s="510"/>
      <c r="L221" s="503"/>
    </row>
    <row r="222">
      <c r="A222" s="499"/>
      <c r="B222" s="510"/>
      <c r="C222" s="510"/>
      <c r="D222" s="510"/>
      <c r="E222" s="510"/>
      <c r="F222" s="505"/>
      <c r="G222" s="507"/>
      <c r="H222" s="515"/>
      <c r="I222" s="510"/>
      <c r="J222" s="505"/>
      <c r="K222" s="510"/>
      <c r="L222" s="503"/>
    </row>
    <row r="223">
      <c r="A223" s="499"/>
      <c r="B223" s="510"/>
      <c r="C223" s="510"/>
      <c r="D223" s="510"/>
      <c r="E223" s="510"/>
      <c r="F223" s="505"/>
      <c r="G223" s="507"/>
      <c r="H223" s="515"/>
      <c r="I223" s="510"/>
      <c r="J223" s="505"/>
      <c r="K223" s="510"/>
      <c r="L223" s="503"/>
    </row>
    <row r="224">
      <c r="A224" s="499"/>
      <c r="B224" s="510"/>
      <c r="C224" s="510"/>
      <c r="D224" s="510"/>
      <c r="E224" s="510"/>
      <c r="F224" s="505"/>
      <c r="G224" s="507"/>
      <c r="H224" s="515"/>
      <c r="I224" s="510"/>
      <c r="J224" s="505"/>
      <c r="K224" s="510"/>
      <c r="L224" s="503"/>
    </row>
    <row r="225">
      <c r="A225" s="499"/>
      <c r="B225" s="510"/>
      <c r="C225" s="510"/>
      <c r="D225" s="510"/>
      <c r="E225" s="510"/>
      <c r="F225" s="505"/>
      <c r="G225" s="507"/>
      <c r="H225" s="515"/>
      <c r="I225" s="510"/>
      <c r="J225" s="505"/>
      <c r="K225" s="510"/>
      <c r="L225" s="503"/>
    </row>
    <row r="226">
      <c r="A226" s="499"/>
      <c r="B226" s="510"/>
      <c r="C226" s="510"/>
      <c r="D226" s="510"/>
      <c r="E226" s="510"/>
      <c r="F226" s="505"/>
      <c r="G226" s="507"/>
      <c r="H226" s="515"/>
      <c r="I226" s="510"/>
      <c r="J226" s="505"/>
      <c r="K226" s="510"/>
      <c r="L226" s="503"/>
    </row>
    <row r="227">
      <c r="A227" s="499"/>
      <c r="B227" s="510"/>
      <c r="C227" s="510"/>
      <c r="D227" s="510"/>
      <c r="E227" s="510"/>
      <c r="F227" s="505"/>
      <c r="G227" s="507"/>
      <c r="H227" s="515"/>
      <c r="I227" s="510"/>
      <c r="J227" s="505"/>
      <c r="K227" s="510"/>
      <c r="L227" s="503"/>
    </row>
    <row r="228">
      <c r="A228" s="499"/>
      <c r="B228" s="510"/>
      <c r="C228" s="510"/>
      <c r="D228" s="510"/>
      <c r="E228" s="510"/>
      <c r="F228" s="505"/>
      <c r="G228" s="507"/>
      <c r="H228" s="515"/>
      <c r="I228" s="510"/>
      <c r="J228" s="505"/>
      <c r="K228" s="510"/>
      <c r="L228" s="503"/>
    </row>
    <row r="229">
      <c r="A229" s="499"/>
      <c r="B229" s="510"/>
      <c r="C229" s="510"/>
      <c r="D229" s="510"/>
      <c r="E229" s="510"/>
      <c r="F229" s="505"/>
      <c r="G229" s="507"/>
      <c r="H229" s="515"/>
      <c r="I229" s="510"/>
      <c r="J229" s="505"/>
      <c r="K229" s="510"/>
      <c r="L229" s="503"/>
    </row>
    <row r="230">
      <c r="A230" s="499"/>
      <c r="B230" s="510"/>
      <c r="C230" s="510"/>
      <c r="D230" s="510"/>
      <c r="E230" s="510"/>
      <c r="F230" s="505"/>
      <c r="G230" s="507"/>
      <c r="H230" s="515"/>
      <c r="I230" s="510"/>
      <c r="J230" s="505"/>
      <c r="K230" s="510"/>
      <c r="L230" s="503"/>
    </row>
    <row r="231">
      <c r="A231" s="499"/>
      <c r="B231" s="510"/>
      <c r="C231" s="510"/>
      <c r="D231" s="510"/>
      <c r="E231" s="510"/>
      <c r="F231" s="505"/>
      <c r="G231" s="507"/>
      <c r="H231" s="515"/>
      <c r="I231" s="510"/>
      <c r="J231" s="505"/>
      <c r="K231" s="510"/>
      <c r="L231" s="503"/>
    </row>
    <row r="232">
      <c r="A232" s="499"/>
      <c r="B232" s="510"/>
      <c r="C232" s="510"/>
      <c r="D232" s="510"/>
      <c r="E232" s="510"/>
      <c r="F232" s="505"/>
      <c r="G232" s="507"/>
      <c r="H232" s="515"/>
      <c r="I232" s="510"/>
      <c r="J232" s="505"/>
      <c r="K232" s="510"/>
      <c r="L232" s="503"/>
    </row>
    <row r="233">
      <c r="A233" s="499"/>
      <c r="B233" s="510"/>
      <c r="C233" s="510"/>
      <c r="D233" s="510"/>
      <c r="E233" s="510"/>
      <c r="F233" s="505"/>
      <c r="G233" s="507"/>
      <c r="H233" s="515"/>
      <c r="I233" s="510"/>
      <c r="J233" s="505"/>
      <c r="K233" s="510"/>
      <c r="L233" s="503"/>
    </row>
    <row r="234">
      <c r="A234" s="499"/>
      <c r="B234" s="510"/>
      <c r="C234" s="510"/>
      <c r="D234" s="510"/>
      <c r="E234" s="510"/>
      <c r="F234" s="505"/>
      <c r="G234" s="507"/>
      <c r="H234" s="515"/>
      <c r="I234" s="510"/>
      <c r="J234" s="505"/>
      <c r="K234" s="510"/>
      <c r="L234" s="503"/>
    </row>
    <row r="235">
      <c r="A235" s="499"/>
      <c r="B235" s="510"/>
      <c r="C235" s="510"/>
      <c r="D235" s="510"/>
      <c r="E235" s="510"/>
      <c r="F235" s="505"/>
      <c r="G235" s="507"/>
      <c r="H235" s="515"/>
      <c r="I235" s="510"/>
      <c r="J235" s="505"/>
      <c r="K235" s="510"/>
      <c r="L235" s="503"/>
    </row>
    <row r="236">
      <c r="A236" s="499"/>
      <c r="B236" s="510"/>
      <c r="C236" s="510"/>
      <c r="D236" s="510"/>
      <c r="E236" s="510"/>
      <c r="F236" s="505"/>
      <c r="G236" s="507"/>
      <c r="H236" s="515"/>
      <c r="I236" s="510"/>
      <c r="J236" s="505"/>
      <c r="K236" s="510"/>
      <c r="L236" s="503"/>
    </row>
    <row r="237">
      <c r="A237" s="499"/>
      <c r="B237" s="510"/>
      <c r="C237" s="510"/>
      <c r="D237" s="510"/>
      <c r="E237" s="510"/>
      <c r="F237" s="505"/>
      <c r="G237" s="507"/>
      <c r="H237" s="515"/>
      <c r="I237" s="510"/>
      <c r="J237" s="505"/>
      <c r="K237" s="510"/>
      <c r="L237" s="503"/>
    </row>
    <row r="238">
      <c r="A238" s="499"/>
      <c r="B238" s="510"/>
      <c r="C238" s="510"/>
      <c r="D238" s="510"/>
      <c r="E238" s="510"/>
      <c r="F238" s="505"/>
      <c r="G238" s="507"/>
      <c r="H238" s="515"/>
      <c r="I238" s="510"/>
      <c r="J238" s="505"/>
      <c r="K238" s="510"/>
      <c r="L238" s="503"/>
    </row>
    <row r="239">
      <c r="A239" s="499"/>
      <c r="B239" s="510"/>
      <c r="C239" s="510"/>
      <c r="D239" s="510"/>
      <c r="E239" s="510"/>
      <c r="F239" s="505"/>
      <c r="G239" s="507"/>
      <c r="H239" s="515"/>
      <c r="I239" s="510"/>
      <c r="J239" s="505"/>
      <c r="K239" s="510"/>
      <c r="L239" s="503"/>
    </row>
    <row r="240">
      <c r="A240" s="499"/>
      <c r="B240" s="510"/>
      <c r="C240" s="510"/>
      <c r="D240" s="510"/>
      <c r="E240" s="510"/>
      <c r="F240" s="505"/>
      <c r="G240" s="507"/>
      <c r="H240" s="515"/>
      <c r="I240" s="510"/>
      <c r="J240" s="505"/>
      <c r="K240" s="510"/>
      <c r="L240" s="503"/>
    </row>
    <row r="241">
      <c r="A241" s="499"/>
      <c r="B241" s="510"/>
      <c r="C241" s="510"/>
      <c r="D241" s="510"/>
      <c r="E241" s="510"/>
      <c r="F241" s="505"/>
      <c r="G241" s="507"/>
      <c r="H241" s="515"/>
      <c r="I241" s="510"/>
      <c r="J241" s="505"/>
      <c r="K241" s="510"/>
      <c r="L241" s="503"/>
    </row>
    <row r="242">
      <c r="A242" s="499"/>
      <c r="B242" s="510"/>
      <c r="C242" s="510"/>
      <c r="D242" s="510"/>
      <c r="E242" s="510"/>
      <c r="F242" s="505"/>
      <c r="G242" s="507"/>
      <c r="H242" s="515"/>
      <c r="I242" s="510"/>
      <c r="J242" s="505"/>
      <c r="K242" s="510"/>
      <c r="L242" s="503"/>
    </row>
    <row r="243">
      <c r="A243" s="499"/>
      <c r="B243" s="510"/>
      <c r="C243" s="510"/>
      <c r="D243" s="510"/>
      <c r="E243" s="510"/>
      <c r="F243" s="505"/>
      <c r="G243" s="507"/>
      <c r="H243" s="515"/>
      <c r="I243" s="510"/>
      <c r="J243" s="505"/>
      <c r="K243" s="510"/>
      <c r="L243" s="503"/>
    </row>
    <row r="244">
      <c r="A244" s="499"/>
      <c r="B244" s="510"/>
      <c r="C244" s="510"/>
      <c r="D244" s="510"/>
      <c r="E244" s="510"/>
      <c r="F244" s="505"/>
      <c r="G244" s="507"/>
      <c r="H244" s="515"/>
      <c r="I244" s="510"/>
      <c r="J244" s="505"/>
      <c r="K244" s="510"/>
      <c r="L244" s="503"/>
    </row>
    <row r="245">
      <c r="A245" s="499"/>
      <c r="B245" s="510"/>
      <c r="C245" s="510"/>
      <c r="D245" s="510"/>
      <c r="E245" s="510"/>
      <c r="F245" s="505"/>
      <c r="G245" s="507"/>
      <c r="H245" s="515"/>
      <c r="I245" s="510"/>
      <c r="J245" s="505"/>
      <c r="K245" s="510"/>
      <c r="L245" s="503"/>
    </row>
    <row r="246">
      <c r="A246" s="499"/>
      <c r="B246" s="510"/>
      <c r="C246" s="510"/>
      <c r="D246" s="510"/>
      <c r="E246" s="510"/>
      <c r="F246" s="505"/>
      <c r="G246" s="507"/>
      <c r="H246" s="515"/>
      <c r="I246" s="510"/>
      <c r="J246" s="505"/>
      <c r="K246" s="510"/>
      <c r="L246" s="503"/>
    </row>
    <row r="247">
      <c r="A247" s="499"/>
      <c r="B247" s="510"/>
      <c r="C247" s="510"/>
      <c r="D247" s="510"/>
      <c r="E247" s="510"/>
      <c r="F247" s="505"/>
      <c r="G247" s="507"/>
      <c r="H247" s="515"/>
      <c r="I247" s="510"/>
      <c r="J247" s="505"/>
      <c r="K247" s="510"/>
      <c r="L247" s="503"/>
    </row>
    <row r="248">
      <c r="A248" s="499"/>
      <c r="B248" s="510"/>
      <c r="C248" s="510"/>
      <c r="D248" s="510"/>
      <c r="E248" s="510"/>
      <c r="F248" s="505"/>
      <c r="G248" s="507"/>
      <c r="H248" s="515"/>
      <c r="I248" s="510"/>
      <c r="J248" s="505"/>
      <c r="K248" s="510"/>
      <c r="L248" s="503"/>
    </row>
    <row r="249">
      <c r="A249" s="499"/>
      <c r="B249" s="510"/>
      <c r="C249" s="510"/>
      <c r="D249" s="510"/>
      <c r="E249" s="510"/>
      <c r="F249" s="505"/>
      <c r="G249" s="507"/>
      <c r="H249" s="515"/>
      <c r="I249" s="510"/>
      <c r="J249" s="505"/>
      <c r="K249" s="510"/>
      <c r="L249" s="503"/>
    </row>
    <row r="250">
      <c r="A250" s="499"/>
      <c r="B250" s="510"/>
      <c r="C250" s="510"/>
      <c r="D250" s="510"/>
      <c r="E250" s="510"/>
      <c r="F250" s="505"/>
      <c r="G250" s="507"/>
      <c r="H250" s="515"/>
      <c r="I250" s="510"/>
      <c r="J250" s="505"/>
      <c r="K250" s="510"/>
      <c r="L250" s="503"/>
    </row>
    <row r="251">
      <c r="A251" s="499"/>
      <c r="B251" s="510"/>
      <c r="C251" s="510"/>
      <c r="D251" s="510"/>
      <c r="E251" s="510"/>
      <c r="F251" s="505"/>
      <c r="G251" s="507"/>
      <c r="H251" s="515"/>
      <c r="I251" s="510"/>
      <c r="J251" s="505"/>
      <c r="K251" s="510"/>
      <c r="L251" s="503"/>
    </row>
    <row r="252">
      <c r="A252" s="499"/>
      <c r="B252" s="510"/>
      <c r="C252" s="510"/>
      <c r="D252" s="510"/>
      <c r="E252" s="510"/>
      <c r="F252" s="505"/>
      <c r="G252" s="507"/>
      <c r="H252" s="515"/>
      <c r="I252" s="510"/>
      <c r="J252" s="505"/>
      <c r="K252" s="510"/>
      <c r="L252" s="503"/>
    </row>
    <row r="253">
      <c r="A253" s="499"/>
      <c r="B253" s="510"/>
      <c r="C253" s="510"/>
      <c r="D253" s="510"/>
      <c r="E253" s="510"/>
      <c r="F253" s="505"/>
      <c r="G253" s="507"/>
      <c r="H253" s="515"/>
      <c r="I253" s="510"/>
      <c r="J253" s="505"/>
      <c r="K253" s="510"/>
      <c r="L253" s="503"/>
    </row>
    <row r="254">
      <c r="A254" s="499"/>
      <c r="B254" s="510"/>
      <c r="C254" s="510"/>
      <c r="D254" s="510"/>
      <c r="E254" s="510"/>
      <c r="F254" s="505"/>
      <c r="G254" s="507"/>
      <c r="H254" s="515"/>
      <c r="I254" s="510"/>
      <c r="J254" s="505"/>
      <c r="K254" s="510"/>
      <c r="L254" s="503"/>
    </row>
    <row r="255">
      <c r="A255" s="499"/>
      <c r="B255" s="510"/>
      <c r="C255" s="510"/>
      <c r="D255" s="510"/>
      <c r="E255" s="510"/>
      <c r="F255" s="505"/>
      <c r="G255" s="507"/>
      <c r="H255" s="515"/>
      <c r="I255" s="510"/>
      <c r="J255" s="505"/>
      <c r="K255" s="510"/>
      <c r="L255" s="503"/>
    </row>
    <row r="256">
      <c r="A256" s="499"/>
      <c r="B256" s="510"/>
      <c r="C256" s="510"/>
      <c r="D256" s="510"/>
      <c r="E256" s="510"/>
      <c r="F256" s="505"/>
      <c r="G256" s="507"/>
      <c r="H256" s="515"/>
      <c r="I256" s="510"/>
      <c r="J256" s="505"/>
      <c r="K256" s="510"/>
      <c r="L256" s="503"/>
    </row>
    <row r="257">
      <c r="A257" s="499"/>
      <c r="B257" s="510"/>
      <c r="C257" s="510"/>
      <c r="D257" s="510"/>
      <c r="E257" s="510"/>
      <c r="F257" s="505"/>
      <c r="G257" s="507"/>
      <c r="H257" s="515"/>
      <c r="I257" s="510"/>
      <c r="J257" s="505"/>
      <c r="K257" s="510"/>
      <c r="L257" s="503"/>
    </row>
    <row r="258">
      <c r="A258" s="499"/>
      <c r="B258" s="510"/>
      <c r="C258" s="510"/>
      <c r="D258" s="510"/>
      <c r="E258" s="510"/>
      <c r="F258" s="505"/>
      <c r="G258" s="507"/>
      <c r="H258" s="515"/>
      <c r="I258" s="510"/>
      <c r="J258" s="505"/>
      <c r="K258" s="510"/>
      <c r="L258" s="503"/>
    </row>
    <row r="259">
      <c r="A259" s="499"/>
      <c r="B259" s="510"/>
      <c r="C259" s="510"/>
      <c r="D259" s="510"/>
      <c r="E259" s="510"/>
      <c r="F259" s="505"/>
      <c r="G259" s="507"/>
      <c r="H259" s="515"/>
      <c r="I259" s="510"/>
      <c r="J259" s="505"/>
      <c r="K259" s="510"/>
      <c r="L259" s="503"/>
    </row>
    <row r="260">
      <c r="A260" s="499"/>
      <c r="B260" s="510"/>
      <c r="C260" s="510"/>
      <c r="D260" s="510"/>
      <c r="E260" s="510"/>
      <c r="F260" s="505"/>
      <c r="G260" s="507"/>
      <c r="H260" s="515"/>
      <c r="I260" s="510"/>
      <c r="J260" s="505"/>
      <c r="K260" s="510"/>
      <c r="L260" s="503"/>
    </row>
    <row r="261">
      <c r="A261" s="499"/>
      <c r="B261" s="510"/>
      <c r="C261" s="510"/>
      <c r="D261" s="510"/>
      <c r="E261" s="510"/>
      <c r="F261" s="505"/>
      <c r="G261" s="507"/>
      <c r="H261" s="515"/>
      <c r="I261" s="510"/>
      <c r="J261" s="505"/>
      <c r="K261" s="510"/>
      <c r="L261" s="503"/>
    </row>
    <row r="262">
      <c r="A262" s="499"/>
      <c r="B262" s="510"/>
      <c r="C262" s="510"/>
      <c r="D262" s="510"/>
      <c r="E262" s="510"/>
      <c r="F262" s="505"/>
      <c r="G262" s="507"/>
      <c r="H262" s="515"/>
      <c r="I262" s="510"/>
      <c r="J262" s="505"/>
      <c r="K262" s="510"/>
      <c r="L262" s="503"/>
    </row>
    <row r="263">
      <c r="A263" s="499"/>
      <c r="B263" s="510"/>
      <c r="C263" s="510"/>
      <c r="D263" s="510"/>
      <c r="E263" s="510"/>
      <c r="F263" s="505"/>
      <c r="G263" s="507"/>
      <c r="H263" s="515"/>
      <c r="I263" s="510"/>
      <c r="J263" s="505"/>
      <c r="K263" s="510"/>
      <c r="L263" s="503"/>
    </row>
    <row r="264">
      <c r="A264" s="499"/>
      <c r="B264" s="510"/>
      <c r="C264" s="510"/>
      <c r="D264" s="510"/>
      <c r="E264" s="510"/>
      <c r="F264" s="505"/>
      <c r="G264" s="507"/>
      <c r="H264" s="515"/>
      <c r="I264" s="510"/>
      <c r="J264" s="505"/>
      <c r="K264" s="510"/>
      <c r="L264" s="503"/>
    </row>
    <row r="265">
      <c r="A265" s="499"/>
      <c r="B265" s="510"/>
      <c r="C265" s="510"/>
      <c r="D265" s="510"/>
      <c r="E265" s="510"/>
      <c r="F265" s="505"/>
      <c r="G265" s="507"/>
      <c r="H265" s="515"/>
      <c r="I265" s="510"/>
      <c r="J265" s="505"/>
      <c r="K265" s="510"/>
      <c r="L265" s="503"/>
    </row>
    <row r="266">
      <c r="A266" s="499"/>
      <c r="B266" s="510"/>
      <c r="C266" s="510"/>
      <c r="D266" s="510"/>
      <c r="E266" s="510"/>
      <c r="F266" s="505"/>
      <c r="G266" s="507"/>
      <c r="H266" s="515"/>
      <c r="I266" s="510"/>
      <c r="J266" s="505"/>
      <c r="K266" s="510"/>
      <c r="L266" s="503"/>
    </row>
    <row r="267">
      <c r="A267" s="499"/>
      <c r="B267" s="510"/>
      <c r="C267" s="510"/>
      <c r="D267" s="510"/>
      <c r="E267" s="510"/>
      <c r="F267" s="505"/>
      <c r="G267" s="507"/>
      <c r="H267" s="515"/>
      <c r="I267" s="510"/>
      <c r="J267" s="505"/>
      <c r="K267" s="510"/>
      <c r="L267" s="503"/>
    </row>
    <row r="268">
      <c r="A268" s="499"/>
      <c r="B268" s="510"/>
      <c r="C268" s="510"/>
      <c r="D268" s="510"/>
      <c r="E268" s="510"/>
      <c r="F268" s="505"/>
      <c r="G268" s="507"/>
      <c r="H268" s="515"/>
      <c r="I268" s="510"/>
      <c r="J268" s="505"/>
      <c r="K268" s="510"/>
      <c r="L268" s="503"/>
    </row>
    <row r="269">
      <c r="A269" s="499"/>
      <c r="B269" s="510"/>
      <c r="C269" s="510"/>
      <c r="D269" s="510"/>
      <c r="E269" s="510"/>
      <c r="F269" s="505"/>
      <c r="G269" s="507"/>
      <c r="H269" s="515"/>
      <c r="I269" s="510"/>
      <c r="J269" s="505"/>
      <c r="K269" s="510"/>
      <c r="L269" s="503"/>
    </row>
    <row r="270">
      <c r="A270" s="499"/>
      <c r="B270" s="510"/>
      <c r="C270" s="510"/>
      <c r="D270" s="510"/>
      <c r="E270" s="510"/>
      <c r="F270" s="505"/>
      <c r="G270" s="507"/>
      <c r="H270" s="515"/>
      <c r="I270" s="510"/>
      <c r="J270" s="505"/>
      <c r="K270" s="510"/>
      <c r="L270" s="503"/>
    </row>
    <row r="271">
      <c r="A271" s="499"/>
      <c r="B271" s="510"/>
      <c r="C271" s="510"/>
      <c r="D271" s="510"/>
      <c r="E271" s="510"/>
      <c r="F271" s="505"/>
      <c r="G271" s="507"/>
      <c r="H271" s="515"/>
      <c r="I271" s="510"/>
      <c r="J271" s="505"/>
      <c r="K271" s="510"/>
      <c r="L271" s="503"/>
    </row>
    <row r="272">
      <c r="A272" s="499"/>
      <c r="B272" s="510"/>
      <c r="C272" s="510"/>
      <c r="D272" s="510"/>
      <c r="E272" s="510"/>
      <c r="F272" s="505"/>
      <c r="G272" s="507"/>
      <c r="H272" s="515"/>
      <c r="I272" s="510"/>
      <c r="J272" s="505"/>
      <c r="K272" s="510"/>
      <c r="L272" s="503"/>
    </row>
    <row r="273">
      <c r="A273" s="499"/>
      <c r="B273" s="510"/>
      <c r="C273" s="510"/>
      <c r="D273" s="510"/>
      <c r="E273" s="510"/>
      <c r="F273" s="505"/>
      <c r="G273" s="507"/>
      <c r="H273" s="515"/>
      <c r="I273" s="510"/>
      <c r="J273" s="505"/>
      <c r="K273" s="510"/>
      <c r="L273" s="503"/>
    </row>
    <row r="274">
      <c r="A274" s="499"/>
      <c r="B274" s="510"/>
      <c r="C274" s="510"/>
      <c r="D274" s="510"/>
      <c r="E274" s="510"/>
      <c r="F274" s="505"/>
      <c r="G274" s="507"/>
      <c r="H274" s="515"/>
      <c r="I274" s="510"/>
      <c r="J274" s="505"/>
      <c r="K274" s="510"/>
      <c r="L274" s="503"/>
    </row>
    <row r="275">
      <c r="A275" s="499"/>
      <c r="B275" s="510"/>
      <c r="C275" s="510"/>
      <c r="D275" s="510"/>
      <c r="E275" s="510"/>
      <c r="F275" s="505"/>
      <c r="G275" s="507"/>
      <c r="H275" s="515"/>
      <c r="I275" s="510"/>
      <c r="J275" s="505"/>
      <c r="K275" s="510"/>
      <c r="L275" s="503"/>
    </row>
    <row r="276">
      <c r="A276" s="499"/>
      <c r="B276" s="510"/>
      <c r="C276" s="510"/>
      <c r="D276" s="510"/>
      <c r="E276" s="510"/>
      <c r="F276" s="505"/>
      <c r="G276" s="507"/>
      <c r="H276" s="515"/>
      <c r="I276" s="510"/>
      <c r="J276" s="505"/>
      <c r="K276" s="510"/>
      <c r="L276" s="503"/>
    </row>
    <row r="277">
      <c r="A277" s="499"/>
      <c r="B277" s="510"/>
      <c r="C277" s="510"/>
      <c r="D277" s="510"/>
      <c r="E277" s="510"/>
      <c r="F277" s="505"/>
      <c r="G277" s="507"/>
      <c r="H277" s="515"/>
      <c r="I277" s="510"/>
      <c r="J277" s="505"/>
      <c r="K277" s="510"/>
      <c r="L277" s="503"/>
    </row>
    <row r="278">
      <c r="A278" s="499"/>
      <c r="B278" s="510"/>
      <c r="C278" s="510"/>
      <c r="D278" s="510"/>
      <c r="E278" s="510"/>
      <c r="F278" s="505"/>
      <c r="G278" s="507"/>
      <c r="H278" s="515"/>
      <c r="I278" s="510"/>
      <c r="J278" s="505"/>
      <c r="K278" s="510"/>
      <c r="L278" s="503"/>
    </row>
    <row r="279">
      <c r="A279" s="499"/>
      <c r="B279" s="510"/>
      <c r="C279" s="510"/>
      <c r="D279" s="510"/>
      <c r="E279" s="510"/>
      <c r="F279" s="505"/>
      <c r="G279" s="507"/>
      <c r="H279" s="515"/>
      <c r="I279" s="510"/>
      <c r="J279" s="505"/>
      <c r="K279" s="510"/>
      <c r="L279" s="503"/>
    </row>
    <row r="280">
      <c r="A280" s="499"/>
      <c r="B280" s="510"/>
      <c r="C280" s="510"/>
      <c r="D280" s="510"/>
      <c r="E280" s="510"/>
      <c r="F280" s="505"/>
      <c r="G280" s="507"/>
      <c r="H280" s="515"/>
      <c r="I280" s="510"/>
      <c r="J280" s="505"/>
      <c r="K280" s="510"/>
      <c r="L280" s="503"/>
    </row>
    <row r="281">
      <c r="A281" s="499"/>
      <c r="B281" s="510"/>
      <c r="C281" s="510"/>
      <c r="D281" s="510"/>
      <c r="E281" s="510"/>
      <c r="F281" s="505"/>
      <c r="G281" s="507"/>
      <c r="H281" s="515"/>
      <c r="I281" s="510"/>
      <c r="J281" s="505"/>
      <c r="K281" s="510"/>
      <c r="L281" s="503"/>
    </row>
    <row r="282">
      <c r="A282" s="499"/>
      <c r="B282" s="510"/>
      <c r="C282" s="510"/>
      <c r="D282" s="510"/>
      <c r="E282" s="510"/>
      <c r="F282" s="505"/>
      <c r="G282" s="507"/>
      <c r="H282" s="515"/>
      <c r="I282" s="510"/>
      <c r="J282" s="505"/>
      <c r="K282" s="510"/>
      <c r="L282" s="503"/>
    </row>
    <row r="283">
      <c r="A283" s="499"/>
      <c r="B283" s="510"/>
      <c r="C283" s="510"/>
      <c r="D283" s="510"/>
      <c r="E283" s="510"/>
      <c r="F283" s="505"/>
      <c r="G283" s="507"/>
      <c r="H283" s="515"/>
      <c r="I283" s="510"/>
      <c r="J283" s="505"/>
      <c r="K283" s="510"/>
      <c r="L283" s="503"/>
    </row>
    <row r="284">
      <c r="A284" s="499"/>
      <c r="B284" s="510"/>
      <c r="C284" s="510"/>
      <c r="D284" s="510"/>
      <c r="E284" s="510"/>
      <c r="F284" s="505"/>
      <c r="G284" s="507"/>
      <c r="H284" s="515"/>
      <c r="I284" s="510"/>
      <c r="J284" s="505"/>
      <c r="K284" s="510"/>
      <c r="L284" s="503"/>
    </row>
    <row r="285">
      <c r="A285" s="499"/>
      <c r="B285" s="510"/>
      <c r="C285" s="510"/>
      <c r="D285" s="510"/>
      <c r="E285" s="510"/>
      <c r="F285" s="505"/>
      <c r="G285" s="507"/>
      <c r="H285" s="515"/>
      <c r="I285" s="510"/>
      <c r="J285" s="505"/>
      <c r="K285" s="510"/>
      <c r="L285" s="503"/>
    </row>
    <row r="286">
      <c r="A286" s="499"/>
      <c r="B286" s="510"/>
      <c r="C286" s="510"/>
      <c r="D286" s="510"/>
      <c r="E286" s="510"/>
      <c r="F286" s="505"/>
      <c r="G286" s="507"/>
      <c r="H286" s="515"/>
      <c r="I286" s="510"/>
      <c r="J286" s="505"/>
      <c r="K286" s="510"/>
      <c r="L286" s="503"/>
    </row>
    <row r="287">
      <c r="A287" s="499"/>
      <c r="B287" s="510"/>
      <c r="C287" s="510"/>
      <c r="D287" s="510"/>
      <c r="E287" s="510"/>
      <c r="F287" s="505"/>
      <c r="G287" s="507"/>
      <c r="H287" s="515"/>
      <c r="I287" s="510"/>
      <c r="J287" s="505"/>
      <c r="K287" s="510"/>
      <c r="L287" s="503"/>
    </row>
    <row r="288">
      <c r="A288" s="499"/>
      <c r="B288" s="510"/>
      <c r="C288" s="510"/>
      <c r="D288" s="510"/>
      <c r="E288" s="510"/>
      <c r="F288" s="505"/>
      <c r="G288" s="507"/>
      <c r="H288" s="515"/>
      <c r="I288" s="510"/>
      <c r="J288" s="505"/>
      <c r="K288" s="510"/>
      <c r="L288" s="503"/>
    </row>
    <row r="289">
      <c r="A289" s="499"/>
      <c r="B289" s="510"/>
      <c r="C289" s="510"/>
      <c r="D289" s="510"/>
      <c r="E289" s="510"/>
      <c r="F289" s="505"/>
      <c r="G289" s="507"/>
      <c r="H289" s="515"/>
      <c r="I289" s="510"/>
      <c r="J289" s="505"/>
      <c r="K289" s="510"/>
      <c r="L289" s="503"/>
    </row>
    <row r="290">
      <c r="A290" s="499"/>
      <c r="B290" s="510"/>
      <c r="C290" s="510"/>
      <c r="D290" s="510"/>
      <c r="E290" s="510"/>
      <c r="F290" s="505"/>
      <c r="G290" s="507"/>
      <c r="H290" s="515"/>
      <c r="I290" s="510"/>
      <c r="J290" s="505"/>
      <c r="K290" s="510"/>
      <c r="L290" s="503"/>
    </row>
    <row r="291">
      <c r="A291" s="499"/>
      <c r="B291" s="510"/>
      <c r="C291" s="510"/>
      <c r="D291" s="510"/>
      <c r="E291" s="510"/>
      <c r="F291" s="505"/>
      <c r="G291" s="507"/>
      <c r="H291" s="515"/>
      <c r="I291" s="510"/>
      <c r="J291" s="505"/>
      <c r="K291" s="510"/>
      <c r="L291" s="503"/>
    </row>
    <row r="292">
      <c r="A292" s="499"/>
      <c r="B292" s="510"/>
      <c r="C292" s="510"/>
      <c r="D292" s="510"/>
      <c r="E292" s="510"/>
      <c r="F292" s="505"/>
      <c r="G292" s="507"/>
      <c r="H292" s="515"/>
      <c r="I292" s="510"/>
      <c r="J292" s="505"/>
      <c r="K292" s="510"/>
      <c r="L292" s="503"/>
    </row>
    <row r="293">
      <c r="A293" s="499"/>
      <c r="B293" s="510"/>
      <c r="C293" s="510"/>
      <c r="D293" s="510"/>
      <c r="E293" s="510"/>
      <c r="F293" s="505"/>
      <c r="G293" s="507"/>
      <c r="H293" s="515"/>
      <c r="I293" s="510"/>
      <c r="J293" s="505"/>
      <c r="K293" s="510"/>
      <c r="L293" s="503"/>
    </row>
    <row r="294">
      <c r="A294" s="499"/>
      <c r="B294" s="510"/>
      <c r="C294" s="510"/>
      <c r="D294" s="510"/>
      <c r="E294" s="510"/>
      <c r="F294" s="505"/>
      <c r="G294" s="507"/>
      <c r="H294" s="515"/>
      <c r="I294" s="510"/>
      <c r="J294" s="505"/>
      <c r="K294" s="510"/>
      <c r="L294" s="503"/>
    </row>
    <row r="295">
      <c r="A295" s="499"/>
      <c r="B295" s="510"/>
      <c r="C295" s="510"/>
      <c r="D295" s="510"/>
      <c r="E295" s="510"/>
      <c r="F295" s="505"/>
      <c r="G295" s="507"/>
      <c r="H295" s="515"/>
      <c r="I295" s="510"/>
      <c r="J295" s="505"/>
      <c r="K295" s="510"/>
      <c r="L295" s="503"/>
    </row>
    <row r="296">
      <c r="A296" s="499"/>
      <c r="B296" s="510"/>
      <c r="C296" s="510"/>
      <c r="D296" s="510"/>
      <c r="E296" s="510"/>
      <c r="F296" s="505"/>
      <c r="G296" s="507"/>
      <c r="H296" s="515"/>
      <c r="I296" s="510"/>
      <c r="J296" s="505"/>
      <c r="K296" s="510"/>
      <c r="L296" s="503"/>
    </row>
    <row r="297">
      <c r="A297" s="499"/>
      <c r="B297" s="510"/>
      <c r="C297" s="510"/>
      <c r="D297" s="510"/>
      <c r="E297" s="510"/>
      <c r="F297" s="505"/>
      <c r="G297" s="507"/>
      <c r="H297" s="515"/>
      <c r="I297" s="510"/>
      <c r="J297" s="505"/>
      <c r="K297" s="510"/>
      <c r="L297" s="503"/>
    </row>
    <row r="298">
      <c r="A298" s="499"/>
      <c r="B298" s="510"/>
      <c r="C298" s="510"/>
      <c r="D298" s="510"/>
      <c r="E298" s="510"/>
      <c r="F298" s="505"/>
      <c r="G298" s="507"/>
      <c r="H298" s="515"/>
      <c r="I298" s="510"/>
      <c r="J298" s="505"/>
      <c r="K298" s="510"/>
      <c r="L298" s="503"/>
    </row>
    <row r="299">
      <c r="A299" s="499"/>
      <c r="B299" s="510"/>
      <c r="C299" s="510"/>
      <c r="D299" s="510"/>
      <c r="E299" s="510"/>
      <c r="F299" s="505"/>
      <c r="G299" s="507"/>
      <c r="H299" s="515"/>
      <c r="I299" s="510"/>
      <c r="J299" s="505"/>
      <c r="K299" s="510"/>
      <c r="L299" s="503"/>
    </row>
    <row r="300">
      <c r="A300" s="499"/>
      <c r="B300" s="510"/>
      <c r="C300" s="510"/>
      <c r="D300" s="510"/>
      <c r="E300" s="510"/>
      <c r="F300" s="505"/>
      <c r="G300" s="507"/>
      <c r="H300" s="515"/>
      <c r="I300" s="510"/>
      <c r="J300" s="505"/>
      <c r="K300" s="510"/>
      <c r="L300" s="503"/>
    </row>
    <row r="301">
      <c r="A301" s="499"/>
      <c r="B301" s="510"/>
      <c r="C301" s="510"/>
      <c r="D301" s="510"/>
      <c r="E301" s="510"/>
      <c r="F301" s="505"/>
      <c r="G301" s="507"/>
      <c r="H301" s="515"/>
      <c r="I301" s="510"/>
      <c r="J301" s="505"/>
      <c r="K301" s="510"/>
      <c r="L301" s="503"/>
    </row>
    <row r="302">
      <c r="A302" s="499"/>
      <c r="B302" s="510"/>
      <c r="C302" s="510"/>
      <c r="D302" s="510"/>
      <c r="E302" s="510"/>
      <c r="F302" s="505"/>
      <c r="G302" s="507"/>
      <c r="H302" s="515"/>
      <c r="I302" s="510"/>
      <c r="J302" s="505"/>
      <c r="K302" s="510"/>
      <c r="L302" s="503"/>
    </row>
    <row r="303">
      <c r="A303" s="499"/>
      <c r="B303" s="510"/>
      <c r="C303" s="510"/>
      <c r="D303" s="510"/>
      <c r="E303" s="510"/>
      <c r="F303" s="505"/>
      <c r="G303" s="507"/>
      <c r="H303" s="515"/>
      <c r="I303" s="510"/>
      <c r="J303" s="505"/>
      <c r="K303" s="510"/>
      <c r="L303" s="503"/>
    </row>
    <row r="304">
      <c r="A304" s="499"/>
      <c r="B304" s="510"/>
      <c r="C304" s="510"/>
      <c r="D304" s="510"/>
      <c r="E304" s="510"/>
      <c r="F304" s="505"/>
      <c r="G304" s="507"/>
      <c r="H304" s="515"/>
      <c r="I304" s="510"/>
      <c r="J304" s="505"/>
      <c r="K304" s="510"/>
      <c r="L304" s="503"/>
    </row>
    <row r="305">
      <c r="A305" s="499"/>
      <c r="B305" s="510"/>
      <c r="C305" s="510"/>
      <c r="D305" s="510"/>
      <c r="E305" s="510"/>
      <c r="F305" s="505"/>
      <c r="G305" s="507"/>
      <c r="H305" s="515"/>
      <c r="I305" s="510"/>
      <c r="J305" s="505"/>
      <c r="K305" s="510"/>
      <c r="L305" s="503"/>
    </row>
    <row r="306">
      <c r="A306" s="499"/>
      <c r="B306" s="510"/>
      <c r="C306" s="510"/>
      <c r="D306" s="510"/>
      <c r="E306" s="510"/>
      <c r="F306" s="505"/>
      <c r="G306" s="507"/>
      <c r="H306" s="515"/>
      <c r="I306" s="510"/>
      <c r="J306" s="505"/>
      <c r="K306" s="510"/>
      <c r="L306" s="503"/>
    </row>
    <row r="307">
      <c r="A307" s="499"/>
      <c r="B307" s="510"/>
      <c r="C307" s="510"/>
      <c r="D307" s="510"/>
      <c r="E307" s="510"/>
      <c r="F307" s="505"/>
      <c r="G307" s="507"/>
      <c r="H307" s="515"/>
      <c r="I307" s="510"/>
      <c r="J307" s="505"/>
      <c r="K307" s="510"/>
      <c r="L307" s="503"/>
    </row>
    <row r="308">
      <c r="A308" s="499"/>
      <c r="B308" s="510"/>
      <c r="C308" s="510"/>
      <c r="D308" s="510"/>
      <c r="E308" s="510"/>
      <c r="F308" s="505"/>
      <c r="G308" s="507"/>
      <c r="H308" s="515"/>
      <c r="I308" s="510"/>
      <c r="J308" s="505"/>
      <c r="K308" s="510"/>
      <c r="L308" s="503"/>
    </row>
    <row r="309">
      <c r="A309" s="499"/>
      <c r="B309" s="510"/>
      <c r="C309" s="510"/>
      <c r="D309" s="510"/>
      <c r="E309" s="510"/>
      <c r="F309" s="505"/>
      <c r="G309" s="507"/>
      <c r="H309" s="515"/>
      <c r="I309" s="510"/>
      <c r="J309" s="505"/>
      <c r="K309" s="510"/>
      <c r="L309" s="503"/>
    </row>
    <row r="310">
      <c r="A310" s="499"/>
      <c r="B310" s="510"/>
      <c r="C310" s="510"/>
      <c r="D310" s="510"/>
      <c r="E310" s="510"/>
      <c r="F310" s="505"/>
      <c r="G310" s="507"/>
      <c r="H310" s="515"/>
      <c r="I310" s="510"/>
      <c r="J310" s="505"/>
      <c r="K310" s="510"/>
      <c r="L310" s="503"/>
    </row>
    <row r="311">
      <c r="A311" s="499"/>
      <c r="B311" s="510"/>
      <c r="C311" s="510"/>
      <c r="D311" s="510"/>
      <c r="E311" s="510"/>
      <c r="F311" s="505"/>
      <c r="G311" s="507"/>
      <c r="H311" s="515"/>
      <c r="I311" s="510"/>
      <c r="J311" s="505"/>
      <c r="K311" s="510"/>
      <c r="L311" s="503"/>
    </row>
    <row r="312">
      <c r="A312" s="499"/>
      <c r="B312" s="510"/>
      <c r="C312" s="510"/>
      <c r="D312" s="510"/>
      <c r="E312" s="510"/>
      <c r="F312" s="505"/>
      <c r="G312" s="507"/>
      <c r="H312" s="515"/>
      <c r="I312" s="510"/>
      <c r="J312" s="505"/>
      <c r="K312" s="510"/>
      <c r="L312" s="503"/>
    </row>
    <row r="313">
      <c r="A313" s="499"/>
      <c r="B313" s="510"/>
      <c r="C313" s="510"/>
      <c r="D313" s="510"/>
      <c r="E313" s="510"/>
      <c r="F313" s="505"/>
      <c r="G313" s="507"/>
      <c r="H313" s="515"/>
      <c r="I313" s="510"/>
      <c r="J313" s="505"/>
      <c r="K313" s="510"/>
      <c r="L313" s="503"/>
    </row>
    <row r="314">
      <c r="A314" s="499"/>
      <c r="B314" s="510"/>
      <c r="C314" s="510"/>
      <c r="D314" s="510"/>
      <c r="E314" s="510"/>
      <c r="F314" s="505"/>
      <c r="G314" s="507"/>
      <c r="H314" s="515"/>
      <c r="I314" s="510"/>
      <c r="J314" s="505"/>
      <c r="K314" s="510"/>
      <c r="L314" s="503"/>
    </row>
    <row r="315">
      <c r="A315" s="499"/>
      <c r="B315" s="510"/>
      <c r="C315" s="510"/>
      <c r="D315" s="510"/>
      <c r="E315" s="510"/>
      <c r="F315" s="505"/>
      <c r="G315" s="507"/>
      <c r="H315" s="515"/>
      <c r="I315" s="510"/>
      <c r="J315" s="505"/>
      <c r="K315" s="510"/>
      <c r="L315" s="503"/>
    </row>
    <row r="316">
      <c r="A316" s="499"/>
      <c r="B316" s="510"/>
      <c r="C316" s="510"/>
      <c r="D316" s="510"/>
      <c r="E316" s="510"/>
      <c r="F316" s="505"/>
      <c r="G316" s="507"/>
      <c r="H316" s="515"/>
      <c r="I316" s="510"/>
      <c r="J316" s="505"/>
      <c r="K316" s="510"/>
      <c r="L316" s="503"/>
    </row>
    <row r="317">
      <c r="A317" s="499"/>
      <c r="B317" s="510"/>
      <c r="C317" s="510"/>
      <c r="D317" s="510"/>
      <c r="E317" s="510"/>
      <c r="F317" s="505"/>
      <c r="G317" s="507"/>
      <c r="H317" s="515"/>
      <c r="I317" s="510"/>
      <c r="J317" s="505"/>
      <c r="K317" s="510"/>
      <c r="L317" s="503"/>
    </row>
    <row r="318">
      <c r="A318" s="499"/>
      <c r="B318" s="510"/>
      <c r="C318" s="510"/>
      <c r="D318" s="510"/>
      <c r="E318" s="510"/>
      <c r="F318" s="505"/>
      <c r="G318" s="507"/>
      <c r="H318" s="515"/>
      <c r="I318" s="510"/>
      <c r="J318" s="505"/>
      <c r="K318" s="510"/>
      <c r="L318" s="503"/>
    </row>
    <row r="319">
      <c r="A319" s="499"/>
      <c r="B319" s="510"/>
      <c r="C319" s="510"/>
      <c r="D319" s="510"/>
      <c r="E319" s="510"/>
      <c r="F319" s="505"/>
      <c r="G319" s="507"/>
      <c r="H319" s="515"/>
      <c r="I319" s="510"/>
      <c r="J319" s="505"/>
      <c r="K319" s="510"/>
      <c r="L319" s="503"/>
    </row>
    <row r="320">
      <c r="A320" s="499"/>
      <c r="B320" s="510"/>
      <c r="C320" s="510"/>
      <c r="D320" s="510"/>
      <c r="E320" s="510"/>
      <c r="F320" s="505"/>
      <c r="G320" s="507"/>
      <c r="H320" s="515"/>
      <c r="I320" s="510"/>
      <c r="J320" s="505"/>
      <c r="K320" s="510"/>
      <c r="L320" s="503"/>
    </row>
    <row r="321">
      <c r="A321" s="499"/>
      <c r="B321" s="510"/>
      <c r="C321" s="510"/>
      <c r="D321" s="510"/>
      <c r="E321" s="510"/>
      <c r="F321" s="505"/>
      <c r="G321" s="507"/>
      <c r="H321" s="515"/>
      <c r="I321" s="510"/>
      <c r="J321" s="505"/>
      <c r="K321" s="510"/>
      <c r="L321" s="503"/>
    </row>
    <row r="322">
      <c r="A322" s="499"/>
      <c r="B322" s="510"/>
      <c r="C322" s="510"/>
      <c r="D322" s="510"/>
      <c r="E322" s="510"/>
      <c r="F322" s="505"/>
      <c r="G322" s="507"/>
      <c r="H322" s="515"/>
      <c r="I322" s="510"/>
      <c r="J322" s="505"/>
      <c r="K322" s="510"/>
      <c r="L322" s="503"/>
    </row>
    <row r="323">
      <c r="A323" s="499"/>
      <c r="B323" s="510"/>
      <c r="C323" s="510"/>
      <c r="D323" s="510"/>
      <c r="E323" s="510"/>
      <c r="F323" s="505"/>
      <c r="G323" s="507"/>
      <c r="H323" s="515"/>
      <c r="I323" s="510"/>
      <c r="J323" s="505"/>
      <c r="K323" s="510"/>
      <c r="L323" s="503"/>
    </row>
    <row r="324">
      <c r="A324" s="499"/>
      <c r="B324" s="510"/>
      <c r="C324" s="510"/>
      <c r="D324" s="510"/>
      <c r="E324" s="510"/>
      <c r="F324" s="505"/>
      <c r="G324" s="507"/>
      <c r="H324" s="515"/>
      <c r="I324" s="510"/>
      <c r="J324" s="505"/>
      <c r="K324" s="510"/>
      <c r="L324" s="503"/>
    </row>
    <row r="325">
      <c r="A325" s="499"/>
      <c r="B325" s="510"/>
      <c r="C325" s="510"/>
      <c r="D325" s="510"/>
      <c r="E325" s="510"/>
      <c r="F325" s="505"/>
      <c r="G325" s="507"/>
      <c r="H325" s="515"/>
      <c r="I325" s="510"/>
      <c r="J325" s="505"/>
      <c r="K325" s="510"/>
      <c r="L325" s="503"/>
    </row>
    <row r="326">
      <c r="A326" s="499"/>
      <c r="B326" s="510"/>
      <c r="C326" s="510"/>
      <c r="D326" s="510"/>
      <c r="E326" s="510"/>
      <c r="F326" s="505"/>
      <c r="G326" s="507"/>
      <c r="H326" s="515"/>
      <c r="I326" s="510"/>
      <c r="J326" s="505"/>
      <c r="K326" s="510"/>
      <c r="L326" s="503"/>
    </row>
    <row r="327">
      <c r="A327" s="499"/>
      <c r="B327" s="510"/>
      <c r="C327" s="510"/>
      <c r="D327" s="510"/>
      <c r="E327" s="510"/>
      <c r="F327" s="505"/>
      <c r="G327" s="507"/>
      <c r="H327" s="515"/>
      <c r="I327" s="510"/>
      <c r="J327" s="505"/>
      <c r="K327" s="510"/>
      <c r="L327" s="503"/>
    </row>
    <row r="328">
      <c r="A328" s="499"/>
      <c r="B328" s="510"/>
      <c r="C328" s="510"/>
      <c r="D328" s="510"/>
      <c r="E328" s="510"/>
      <c r="F328" s="505"/>
      <c r="G328" s="507"/>
      <c r="H328" s="515"/>
      <c r="I328" s="510"/>
      <c r="J328" s="505"/>
      <c r="K328" s="510"/>
      <c r="L328" s="503"/>
    </row>
    <row r="329">
      <c r="A329" s="499"/>
      <c r="B329" s="510"/>
      <c r="C329" s="510"/>
      <c r="D329" s="510"/>
      <c r="E329" s="510"/>
      <c r="F329" s="505"/>
      <c r="G329" s="507"/>
      <c r="H329" s="515"/>
      <c r="I329" s="510"/>
      <c r="J329" s="505"/>
      <c r="K329" s="510"/>
      <c r="L329" s="503"/>
    </row>
    <row r="330">
      <c r="A330" s="499"/>
      <c r="B330" s="510"/>
      <c r="C330" s="510"/>
      <c r="D330" s="510"/>
      <c r="E330" s="510"/>
      <c r="F330" s="505"/>
      <c r="G330" s="507"/>
      <c r="H330" s="515"/>
      <c r="I330" s="510"/>
      <c r="J330" s="505"/>
      <c r="K330" s="510"/>
      <c r="L330" s="503"/>
    </row>
    <row r="331">
      <c r="A331" s="499"/>
      <c r="B331" s="510"/>
      <c r="C331" s="510"/>
      <c r="D331" s="510"/>
      <c r="E331" s="510"/>
      <c r="F331" s="505"/>
      <c r="G331" s="507"/>
      <c r="H331" s="515"/>
      <c r="I331" s="510"/>
      <c r="J331" s="505"/>
      <c r="K331" s="510"/>
      <c r="L331" s="503"/>
    </row>
    <row r="332">
      <c r="A332" s="499"/>
      <c r="B332" s="510"/>
      <c r="C332" s="510"/>
      <c r="D332" s="510"/>
      <c r="E332" s="510"/>
      <c r="F332" s="505"/>
      <c r="G332" s="507"/>
      <c r="H332" s="515"/>
      <c r="I332" s="510"/>
      <c r="J332" s="505"/>
      <c r="K332" s="510"/>
      <c r="L332" s="503"/>
    </row>
    <row r="333">
      <c r="A333" s="499"/>
      <c r="B333" s="510"/>
      <c r="C333" s="510"/>
      <c r="D333" s="510"/>
      <c r="E333" s="510"/>
      <c r="F333" s="505"/>
      <c r="G333" s="507"/>
      <c r="H333" s="515"/>
      <c r="I333" s="510"/>
      <c r="J333" s="505"/>
      <c r="K333" s="510"/>
      <c r="L333" s="503"/>
    </row>
    <row r="334">
      <c r="A334" s="499"/>
      <c r="B334" s="510"/>
      <c r="C334" s="510"/>
      <c r="D334" s="510"/>
      <c r="E334" s="510"/>
      <c r="F334" s="505"/>
      <c r="G334" s="507"/>
      <c r="H334" s="515"/>
      <c r="I334" s="510"/>
      <c r="J334" s="505"/>
      <c r="K334" s="510"/>
      <c r="L334" s="503"/>
    </row>
    <row r="335">
      <c r="A335" s="499"/>
      <c r="B335" s="510"/>
      <c r="C335" s="510"/>
      <c r="D335" s="510"/>
      <c r="E335" s="510"/>
      <c r="F335" s="505"/>
      <c r="G335" s="507"/>
      <c r="H335" s="515"/>
      <c r="I335" s="510"/>
      <c r="J335" s="505"/>
      <c r="K335" s="510"/>
      <c r="L335" s="503"/>
    </row>
    <row r="336">
      <c r="A336" s="499"/>
      <c r="B336" s="510"/>
      <c r="C336" s="510"/>
      <c r="D336" s="510"/>
      <c r="E336" s="510"/>
      <c r="F336" s="505"/>
      <c r="G336" s="507"/>
      <c r="H336" s="515"/>
      <c r="I336" s="510"/>
      <c r="J336" s="505"/>
      <c r="K336" s="510"/>
      <c r="L336" s="503"/>
    </row>
    <row r="337">
      <c r="A337" s="499"/>
      <c r="B337" s="510"/>
      <c r="C337" s="510"/>
      <c r="D337" s="510"/>
      <c r="E337" s="510"/>
      <c r="F337" s="505"/>
      <c r="G337" s="507"/>
      <c r="H337" s="515"/>
      <c r="I337" s="510"/>
      <c r="J337" s="505"/>
      <c r="K337" s="510"/>
      <c r="L337" s="503"/>
    </row>
    <row r="338">
      <c r="A338" s="499"/>
      <c r="B338" s="510"/>
      <c r="C338" s="510"/>
      <c r="D338" s="510"/>
      <c r="E338" s="510"/>
      <c r="F338" s="505"/>
      <c r="G338" s="507"/>
      <c r="H338" s="515"/>
      <c r="I338" s="510"/>
      <c r="J338" s="505"/>
      <c r="K338" s="510"/>
      <c r="L338" s="503"/>
    </row>
    <row r="339">
      <c r="A339" s="499"/>
      <c r="B339" s="510"/>
      <c r="C339" s="510"/>
      <c r="D339" s="510"/>
      <c r="E339" s="510"/>
      <c r="F339" s="505"/>
      <c r="G339" s="507"/>
      <c r="H339" s="515"/>
      <c r="I339" s="510"/>
      <c r="J339" s="505"/>
      <c r="K339" s="510"/>
      <c r="L339" s="503"/>
    </row>
    <row r="340">
      <c r="A340" s="499"/>
      <c r="B340" s="510"/>
      <c r="C340" s="510"/>
      <c r="D340" s="510"/>
      <c r="E340" s="510"/>
      <c r="F340" s="505"/>
      <c r="G340" s="507"/>
      <c r="H340" s="515"/>
      <c r="I340" s="510"/>
      <c r="J340" s="505"/>
      <c r="K340" s="510"/>
      <c r="L340" s="503"/>
    </row>
    <row r="341">
      <c r="A341" s="499"/>
      <c r="B341" s="510"/>
      <c r="C341" s="510"/>
      <c r="D341" s="510"/>
      <c r="E341" s="510"/>
      <c r="F341" s="505"/>
      <c r="G341" s="507"/>
      <c r="H341" s="515"/>
      <c r="I341" s="510"/>
      <c r="J341" s="505"/>
      <c r="K341" s="510"/>
      <c r="L341" s="503"/>
    </row>
    <row r="342">
      <c r="A342" s="499"/>
      <c r="B342" s="510"/>
      <c r="C342" s="510"/>
      <c r="D342" s="510"/>
      <c r="E342" s="510"/>
      <c r="F342" s="505"/>
      <c r="G342" s="507"/>
      <c r="H342" s="515"/>
      <c r="I342" s="510"/>
      <c r="J342" s="505"/>
      <c r="K342" s="510"/>
      <c r="L342" s="503"/>
    </row>
    <row r="343">
      <c r="A343" s="499"/>
      <c r="B343" s="510"/>
      <c r="C343" s="510"/>
      <c r="D343" s="510"/>
      <c r="E343" s="510"/>
      <c r="F343" s="505"/>
      <c r="G343" s="507"/>
      <c r="H343" s="515"/>
      <c r="I343" s="510"/>
      <c r="J343" s="505"/>
      <c r="K343" s="510"/>
      <c r="L343" s="503"/>
    </row>
    <row r="344">
      <c r="A344" s="499"/>
      <c r="B344" s="510"/>
      <c r="C344" s="510"/>
      <c r="D344" s="510"/>
      <c r="E344" s="510"/>
      <c r="F344" s="505"/>
      <c r="G344" s="507"/>
      <c r="H344" s="515"/>
      <c r="I344" s="510"/>
      <c r="J344" s="505"/>
      <c r="K344" s="510"/>
      <c r="L344" s="503"/>
    </row>
    <row r="345">
      <c r="A345" s="499"/>
      <c r="B345" s="510"/>
      <c r="C345" s="510"/>
      <c r="D345" s="510"/>
      <c r="E345" s="510"/>
      <c r="F345" s="505"/>
      <c r="G345" s="507"/>
      <c r="H345" s="515"/>
      <c r="I345" s="510"/>
      <c r="J345" s="505"/>
      <c r="K345" s="510"/>
      <c r="L345" s="503"/>
    </row>
    <row r="346">
      <c r="A346" s="499"/>
      <c r="B346" s="510"/>
      <c r="C346" s="510"/>
      <c r="D346" s="510"/>
      <c r="E346" s="510"/>
      <c r="F346" s="505"/>
      <c r="G346" s="507"/>
      <c r="H346" s="515"/>
      <c r="I346" s="510"/>
      <c r="J346" s="505"/>
      <c r="K346" s="510"/>
      <c r="L346" s="503"/>
    </row>
    <row r="347">
      <c r="A347" s="499"/>
      <c r="B347" s="510"/>
      <c r="C347" s="510"/>
      <c r="D347" s="510"/>
      <c r="E347" s="510"/>
      <c r="F347" s="505"/>
      <c r="G347" s="507"/>
      <c r="H347" s="515"/>
      <c r="I347" s="510"/>
      <c r="J347" s="505"/>
      <c r="K347" s="510"/>
      <c r="L347" s="503"/>
    </row>
    <row r="348">
      <c r="A348" s="499"/>
      <c r="B348" s="510"/>
      <c r="C348" s="510"/>
      <c r="D348" s="510"/>
      <c r="E348" s="510"/>
      <c r="F348" s="505"/>
      <c r="G348" s="507"/>
      <c r="H348" s="515"/>
      <c r="I348" s="510"/>
      <c r="J348" s="505"/>
      <c r="K348" s="510"/>
      <c r="L348" s="503"/>
    </row>
    <row r="349">
      <c r="A349" s="499"/>
      <c r="B349" s="510"/>
      <c r="C349" s="510"/>
      <c r="D349" s="510"/>
      <c r="E349" s="510"/>
      <c r="F349" s="505"/>
      <c r="G349" s="507"/>
      <c r="H349" s="515"/>
      <c r="I349" s="510"/>
      <c r="J349" s="505"/>
      <c r="K349" s="510"/>
      <c r="L349" s="503"/>
    </row>
    <row r="350">
      <c r="A350" s="499"/>
      <c r="B350" s="510"/>
      <c r="C350" s="510"/>
      <c r="D350" s="510"/>
      <c r="E350" s="510"/>
      <c r="F350" s="505"/>
      <c r="G350" s="507"/>
      <c r="H350" s="515"/>
      <c r="I350" s="510"/>
      <c r="J350" s="505"/>
      <c r="K350" s="510"/>
      <c r="L350" s="503"/>
    </row>
    <row r="351">
      <c r="A351" s="499"/>
      <c r="B351" s="510"/>
      <c r="C351" s="510"/>
      <c r="D351" s="510"/>
      <c r="E351" s="510"/>
      <c r="F351" s="505"/>
      <c r="G351" s="507"/>
      <c r="H351" s="515"/>
      <c r="I351" s="510"/>
      <c r="J351" s="505"/>
      <c r="K351" s="510"/>
      <c r="L351" s="503"/>
    </row>
    <row r="352">
      <c r="A352" s="499"/>
      <c r="B352" s="510"/>
      <c r="C352" s="510"/>
      <c r="D352" s="510"/>
      <c r="E352" s="510"/>
      <c r="F352" s="505"/>
      <c r="G352" s="507"/>
      <c r="H352" s="515"/>
      <c r="I352" s="510"/>
      <c r="J352" s="505"/>
      <c r="K352" s="510"/>
      <c r="L352" s="503"/>
    </row>
    <row r="353">
      <c r="A353" s="499"/>
      <c r="B353" s="510"/>
      <c r="C353" s="510"/>
      <c r="D353" s="510"/>
      <c r="E353" s="510"/>
      <c r="F353" s="505"/>
      <c r="G353" s="507"/>
      <c r="H353" s="515"/>
      <c r="I353" s="510"/>
      <c r="J353" s="505"/>
      <c r="K353" s="510"/>
      <c r="L353" s="503"/>
    </row>
    <row r="354">
      <c r="A354" s="499"/>
      <c r="B354" s="510"/>
      <c r="C354" s="510"/>
      <c r="D354" s="510"/>
      <c r="E354" s="510"/>
      <c r="F354" s="505"/>
      <c r="G354" s="507"/>
      <c r="H354" s="515"/>
      <c r="I354" s="510"/>
      <c r="J354" s="505"/>
      <c r="K354" s="510"/>
      <c r="L354" s="503"/>
    </row>
    <row r="355">
      <c r="A355" s="499"/>
      <c r="B355" s="510"/>
      <c r="C355" s="510"/>
      <c r="D355" s="510"/>
      <c r="E355" s="510"/>
      <c r="F355" s="505"/>
      <c r="G355" s="507"/>
      <c r="H355" s="515"/>
      <c r="I355" s="510"/>
      <c r="J355" s="505"/>
      <c r="K355" s="510"/>
      <c r="L355" s="503"/>
    </row>
    <row r="356">
      <c r="A356" s="499"/>
      <c r="B356" s="510"/>
      <c r="C356" s="510"/>
      <c r="D356" s="510"/>
      <c r="E356" s="510"/>
      <c r="F356" s="505"/>
      <c r="G356" s="507"/>
      <c r="H356" s="515"/>
      <c r="I356" s="510"/>
      <c r="J356" s="505"/>
      <c r="K356" s="510"/>
      <c r="L356" s="503"/>
    </row>
    <row r="357">
      <c r="A357" s="499"/>
      <c r="B357" s="510"/>
      <c r="C357" s="510"/>
      <c r="D357" s="510"/>
      <c r="E357" s="510"/>
      <c r="F357" s="505"/>
      <c r="G357" s="507"/>
      <c r="H357" s="515"/>
      <c r="I357" s="510"/>
      <c r="J357" s="505"/>
      <c r="K357" s="510"/>
      <c r="L357" s="503"/>
    </row>
    <row r="358">
      <c r="A358" s="499"/>
      <c r="B358" s="510"/>
      <c r="C358" s="510"/>
      <c r="D358" s="510"/>
      <c r="E358" s="510"/>
      <c r="F358" s="505"/>
      <c r="G358" s="507"/>
      <c r="H358" s="515"/>
      <c r="I358" s="510"/>
      <c r="J358" s="505"/>
      <c r="K358" s="510"/>
      <c r="L358" s="503"/>
    </row>
    <row r="359">
      <c r="A359" s="499"/>
      <c r="B359" s="510"/>
      <c r="C359" s="510"/>
      <c r="D359" s="510"/>
      <c r="E359" s="510"/>
      <c r="F359" s="505"/>
      <c r="G359" s="507"/>
      <c r="H359" s="515"/>
      <c r="I359" s="510"/>
      <c r="J359" s="505"/>
      <c r="K359" s="510"/>
      <c r="L359" s="503"/>
    </row>
    <row r="360">
      <c r="A360" s="499"/>
      <c r="B360" s="510"/>
      <c r="C360" s="510"/>
      <c r="D360" s="510"/>
      <c r="E360" s="510"/>
      <c r="F360" s="505"/>
      <c r="G360" s="507"/>
      <c r="H360" s="515"/>
      <c r="I360" s="510"/>
      <c r="J360" s="505"/>
      <c r="K360" s="510"/>
      <c r="L360" s="503"/>
    </row>
    <row r="361">
      <c r="A361" s="499"/>
      <c r="B361" s="510"/>
      <c r="C361" s="510"/>
      <c r="D361" s="510"/>
      <c r="E361" s="510"/>
      <c r="F361" s="505"/>
      <c r="G361" s="507"/>
      <c r="H361" s="515"/>
      <c r="I361" s="510"/>
      <c r="J361" s="505"/>
      <c r="K361" s="510"/>
      <c r="L361" s="503"/>
    </row>
    <row r="362">
      <c r="A362" s="499"/>
      <c r="B362" s="510"/>
      <c r="C362" s="510"/>
      <c r="D362" s="510"/>
      <c r="E362" s="510"/>
      <c r="F362" s="505"/>
      <c r="G362" s="507"/>
      <c r="H362" s="515"/>
      <c r="I362" s="510"/>
      <c r="J362" s="505"/>
      <c r="K362" s="510"/>
      <c r="L362" s="503"/>
    </row>
    <row r="363">
      <c r="A363" s="499"/>
      <c r="B363" s="510"/>
      <c r="C363" s="510"/>
      <c r="D363" s="510"/>
      <c r="E363" s="510"/>
      <c r="F363" s="505"/>
      <c r="G363" s="507"/>
      <c r="H363" s="515"/>
      <c r="I363" s="510"/>
      <c r="J363" s="505"/>
      <c r="K363" s="510"/>
      <c r="L363" s="503"/>
    </row>
    <row r="364">
      <c r="A364" s="499"/>
      <c r="B364" s="510"/>
      <c r="C364" s="510"/>
      <c r="D364" s="510"/>
      <c r="E364" s="510"/>
      <c r="F364" s="505"/>
      <c r="G364" s="507"/>
      <c r="H364" s="515"/>
      <c r="I364" s="510"/>
      <c r="J364" s="505"/>
      <c r="K364" s="510"/>
      <c r="L364" s="503"/>
    </row>
    <row r="365">
      <c r="A365" s="499"/>
      <c r="B365" s="510"/>
      <c r="C365" s="510"/>
      <c r="D365" s="510"/>
      <c r="E365" s="510"/>
      <c r="F365" s="505"/>
      <c r="G365" s="507"/>
      <c r="H365" s="515"/>
      <c r="I365" s="510"/>
      <c r="J365" s="505"/>
      <c r="K365" s="510"/>
      <c r="L365" s="503"/>
    </row>
    <row r="366">
      <c r="A366" s="499"/>
      <c r="B366" s="510"/>
      <c r="C366" s="510"/>
      <c r="D366" s="510"/>
      <c r="E366" s="510"/>
      <c r="F366" s="505"/>
      <c r="G366" s="507"/>
      <c r="H366" s="515"/>
      <c r="I366" s="510"/>
      <c r="J366" s="505"/>
      <c r="K366" s="510"/>
      <c r="L366" s="503"/>
    </row>
    <row r="367">
      <c r="A367" s="499"/>
      <c r="B367" s="510"/>
      <c r="C367" s="510"/>
      <c r="D367" s="510"/>
      <c r="E367" s="510"/>
      <c r="F367" s="505"/>
      <c r="G367" s="507"/>
      <c r="H367" s="515"/>
      <c r="I367" s="510"/>
      <c r="J367" s="505"/>
      <c r="K367" s="510"/>
      <c r="L367" s="503"/>
    </row>
    <row r="368">
      <c r="A368" s="499"/>
      <c r="B368" s="510"/>
      <c r="C368" s="510"/>
      <c r="D368" s="510"/>
      <c r="E368" s="510"/>
      <c r="F368" s="505"/>
      <c r="G368" s="507"/>
      <c r="H368" s="515"/>
      <c r="I368" s="510"/>
      <c r="J368" s="505"/>
      <c r="K368" s="510"/>
      <c r="L368" s="503"/>
    </row>
    <row r="369">
      <c r="A369" s="499"/>
      <c r="B369" s="510"/>
      <c r="C369" s="510"/>
      <c r="D369" s="510"/>
      <c r="E369" s="510"/>
      <c r="F369" s="505"/>
      <c r="G369" s="507"/>
      <c r="H369" s="515"/>
      <c r="I369" s="510"/>
      <c r="J369" s="505"/>
      <c r="K369" s="510"/>
      <c r="L369" s="503"/>
    </row>
    <row r="370">
      <c r="A370" s="499"/>
      <c r="B370" s="510"/>
      <c r="C370" s="510"/>
      <c r="D370" s="510"/>
      <c r="E370" s="510"/>
      <c r="F370" s="505"/>
      <c r="G370" s="507"/>
      <c r="H370" s="515"/>
      <c r="I370" s="510"/>
      <c r="J370" s="505"/>
      <c r="K370" s="510"/>
      <c r="L370" s="503"/>
    </row>
    <row r="371">
      <c r="A371" s="499"/>
      <c r="B371" s="510"/>
      <c r="C371" s="510"/>
      <c r="D371" s="510"/>
      <c r="E371" s="510"/>
      <c r="F371" s="505"/>
      <c r="G371" s="507"/>
      <c r="H371" s="515"/>
      <c r="I371" s="510"/>
      <c r="J371" s="505"/>
      <c r="K371" s="510"/>
      <c r="L371" s="503"/>
    </row>
    <row r="372">
      <c r="A372" s="499"/>
      <c r="B372" s="510"/>
      <c r="C372" s="510"/>
      <c r="D372" s="510"/>
      <c r="E372" s="510"/>
      <c r="F372" s="505"/>
      <c r="G372" s="507"/>
      <c r="H372" s="515"/>
      <c r="I372" s="510"/>
      <c r="J372" s="505"/>
      <c r="K372" s="510"/>
      <c r="L372" s="503"/>
    </row>
    <row r="373">
      <c r="A373" s="499"/>
      <c r="B373" s="510"/>
      <c r="C373" s="510"/>
      <c r="D373" s="510"/>
      <c r="E373" s="510"/>
      <c r="F373" s="505"/>
      <c r="G373" s="507"/>
      <c r="H373" s="515"/>
      <c r="I373" s="510"/>
      <c r="J373" s="505"/>
      <c r="K373" s="510"/>
      <c r="L373" s="503"/>
    </row>
    <row r="374">
      <c r="A374" s="499"/>
      <c r="B374" s="510"/>
      <c r="C374" s="510"/>
      <c r="D374" s="510"/>
      <c r="E374" s="510"/>
      <c r="F374" s="505"/>
      <c r="G374" s="507"/>
      <c r="H374" s="515"/>
      <c r="I374" s="510"/>
      <c r="J374" s="505"/>
      <c r="K374" s="510"/>
      <c r="L374" s="503"/>
    </row>
    <row r="375">
      <c r="A375" s="499"/>
      <c r="B375" s="510"/>
      <c r="C375" s="510"/>
      <c r="D375" s="510"/>
      <c r="E375" s="510"/>
      <c r="F375" s="505"/>
      <c r="G375" s="507"/>
      <c r="H375" s="515"/>
      <c r="I375" s="510"/>
      <c r="J375" s="505"/>
      <c r="K375" s="510"/>
      <c r="L375" s="503"/>
    </row>
    <row r="376">
      <c r="A376" s="499"/>
      <c r="B376" s="510"/>
      <c r="C376" s="510"/>
      <c r="D376" s="510"/>
      <c r="E376" s="510"/>
      <c r="F376" s="505"/>
      <c r="G376" s="507"/>
      <c r="H376" s="515"/>
      <c r="I376" s="510"/>
      <c r="J376" s="505"/>
      <c r="K376" s="510"/>
      <c r="L376" s="503"/>
    </row>
    <row r="377">
      <c r="A377" s="499"/>
      <c r="B377" s="510"/>
      <c r="C377" s="510"/>
      <c r="D377" s="510"/>
      <c r="E377" s="510"/>
      <c r="F377" s="505"/>
      <c r="G377" s="507"/>
      <c r="H377" s="515"/>
      <c r="I377" s="510"/>
      <c r="J377" s="505"/>
      <c r="K377" s="510"/>
      <c r="L377" s="503"/>
    </row>
    <row r="378">
      <c r="A378" s="499"/>
      <c r="B378" s="510"/>
      <c r="C378" s="510"/>
      <c r="D378" s="510"/>
      <c r="E378" s="510"/>
      <c r="F378" s="505"/>
      <c r="G378" s="507"/>
      <c r="H378" s="515"/>
      <c r="I378" s="510"/>
      <c r="J378" s="505"/>
      <c r="K378" s="510"/>
      <c r="L378" s="503"/>
    </row>
    <row r="379">
      <c r="A379" s="499"/>
      <c r="B379" s="510"/>
      <c r="C379" s="510"/>
      <c r="D379" s="510"/>
      <c r="E379" s="510"/>
      <c r="F379" s="505"/>
      <c r="G379" s="507"/>
      <c r="H379" s="515"/>
      <c r="I379" s="510"/>
      <c r="J379" s="505"/>
      <c r="K379" s="510"/>
      <c r="L379" s="503"/>
    </row>
    <row r="380">
      <c r="A380" s="499"/>
      <c r="B380" s="510"/>
      <c r="C380" s="510"/>
      <c r="D380" s="510"/>
      <c r="E380" s="510"/>
      <c r="F380" s="505"/>
      <c r="G380" s="507"/>
      <c r="H380" s="515"/>
      <c r="I380" s="510"/>
      <c r="J380" s="505"/>
      <c r="K380" s="510"/>
      <c r="L380" s="503"/>
    </row>
    <row r="381">
      <c r="A381" s="499"/>
      <c r="B381" s="510"/>
      <c r="C381" s="510"/>
      <c r="D381" s="510"/>
      <c r="E381" s="510"/>
      <c r="F381" s="505"/>
      <c r="G381" s="507"/>
      <c r="H381" s="515"/>
      <c r="I381" s="510"/>
      <c r="J381" s="505"/>
      <c r="K381" s="510"/>
      <c r="L381" s="503"/>
    </row>
    <row r="382">
      <c r="A382" s="499"/>
      <c r="B382" s="510"/>
      <c r="C382" s="510"/>
      <c r="D382" s="510"/>
      <c r="E382" s="510"/>
      <c r="F382" s="505"/>
      <c r="G382" s="507"/>
      <c r="H382" s="515"/>
      <c r="I382" s="510"/>
      <c r="J382" s="505"/>
      <c r="K382" s="510"/>
      <c r="L382" s="503"/>
    </row>
    <row r="383">
      <c r="A383" s="499"/>
      <c r="B383" s="510"/>
      <c r="C383" s="510"/>
      <c r="D383" s="510"/>
      <c r="E383" s="510"/>
      <c r="F383" s="505"/>
      <c r="G383" s="507"/>
      <c r="H383" s="515"/>
      <c r="I383" s="510"/>
      <c r="J383" s="505"/>
      <c r="K383" s="510"/>
      <c r="L383" s="503"/>
    </row>
    <row r="384">
      <c r="A384" s="499"/>
      <c r="B384" s="510"/>
      <c r="C384" s="510"/>
      <c r="D384" s="510"/>
      <c r="E384" s="510"/>
      <c r="F384" s="505"/>
      <c r="G384" s="507"/>
      <c r="H384" s="515"/>
      <c r="I384" s="510"/>
      <c r="J384" s="505"/>
      <c r="K384" s="510"/>
      <c r="L384" s="503"/>
    </row>
    <row r="385">
      <c r="A385" s="499"/>
      <c r="B385" s="510"/>
      <c r="C385" s="510"/>
      <c r="D385" s="510"/>
      <c r="E385" s="510"/>
      <c r="F385" s="505"/>
      <c r="G385" s="507"/>
      <c r="H385" s="515"/>
      <c r="I385" s="510"/>
      <c r="J385" s="505"/>
      <c r="K385" s="510"/>
      <c r="L385" s="503"/>
    </row>
    <row r="386">
      <c r="A386" s="499"/>
      <c r="B386" s="510"/>
      <c r="C386" s="510"/>
      <c r="D386" s="510"/>
      <c r="E386" s="510"/>
      <c r="F386" s="505"/>
      <c r="G386" s="507"/>
      <c r="H386" s="515"/>
      <c r="I386" s="510"/>
      <c r="J386" s="505"/>
      <c r="K386" s="510"/>
      <c r="L386" s="503"/>
    </row>
    <row r="387">
      <c r="A387" s="499"/>
      <c r="B387" s="510"/>
      <c r="C387" s="510"/>
      <c r="D387" s="510"/>
      <c r="E387" s="510"/>
      <c r="F387" s="505"/>
      <c r="G387" s="507"/>
      <c r="H387" s="515"/>
      <c r="I387" s="510"/>
      <c r="J387" s="505"/>
      <c r="K387" s="510"/>
      <c r="L387" s="503"/>
    </row>
    <row r="388">
      <c r="A388" s="499"/>
      <c r="B388" s="510"/>
      <c r="C388" s="510"/>
      <c r="D388" s="510"/>
      <c r="E388" s="510"/>
      <c r="F388" s="505"/>
      <c r="G388" s="507"/>
      <c r="H388" s="515"/>
      <c r="I388" s="510"/>
      <c r="J388" s="505"/>
      <c r="K388" s="510"/>
      <c r="L388" s="503"/>
    </row>
    <row r="389">
      <c r="A389" s="499"/>
      <c r="B389" s="510"/>
      <c r="C389" s="510"/>
      <c r="D389" s="510"/>
      <c r="E389" s="510"/>
      <c r="F389" s="505"/>
      <c r="G389" s="507"/>
      <c r="H389" s="515"/>
      <c r="I389" s="510"/>
      <c r="J389" s="505"/>
      <c r="K389" s="510"/>
      <c r="L389" s="503"/>
    </row>
    <row r="390">
      <c r="A390" s="499"/>
      <c r="B390" s="510"/>
      <c r="C390" s="510"/>
      <c r="D390" s="510"/>
      <c r="E390" s="510"/>
      <c r="F390" s="505"/>
      <c r="G390" s="507"/>
      <c r="H390" s="515"/>
      <c r="I390" s="510"/>
      <c r="J390" s="505"/>
      <c r="K390" s="510"/>
      <c r="L390" s="503"/>
    </row>
    <row r="391">
      <c r="A391" s="499"/>
      <c r="B391" s="510"/>
      <c r="C391" s="510"/>
      <c r="D391" s="510"/>
      <c r="E391" s="510"/>
      <c r="F391" s="505"/>
      <c r="G391" s="507"/>
      <c r="H391" s="515"/>
      <c r="I391" s="510"/>
      <c r="J391" s="505"/>
      <c r="K391" s="510"/>
      <c r="L391" s="503"/>
    </row>
    <row r="392">
      <c r="A392" s="499"/>
      <c r="B392" s="510"/>
      <c r="C392" s="510"/>
      <c r="D392" s="510"/>
      <c r="E392" s="510"/>
      <c r="F392" s="505"/>
      <c r="G392" s="507"/>
      <c r="H392" s="515"/>
      <c r="I392" s="510"/>
      <c r="J392" s="505"/>
      <c r="K392" s="510"/>
      <c r="L392" s="503"/>
    </row>
    <row r="393">
      <c r="A393" s="499"/>
      <c r="B393" s="510"/>
      <c r="C393" s="510"/>
      <c r="D393" s="510"/>
      <c r="E393" s="510"/>
      <c r="F393" s="505"/>
      <c r="G393" s="507"/>
      <c r="H393" s="515"/>
      <c r="I393" s="510"/>
      <c r="J393" s="505"/>
      <c r="K393" s="510"/>
      <c r="L393" s="503"/>
    </row>
    <row r="394">
      <c r="A394" s="499"/>
      <c r="B394" s="510"/>
      <c r="C394" s="510"/>
      <c r="D394" s="510"/>
      <c r="E394" s="510"/>
      <c r="F394" s="505"/>
      <c r="G394" s="507"/>
      <c r="H394" s="515"/>
      <c r="I394" s="510"/>
      <c r="J394" s="505"/>
      <c r="K394" s="510"/>
      <c r="L394" s="503"/>
    </row>
    <row r="395">
      <c r="A395" s="499"/>
      <c r="B395" s="510"/>
      <c r="C395" s="510"/>
      <c r="D395" s="510"/>
      <c r="E395" s="510"/>
      <c r="F395" s="505"/>
      <c r="G395" s="507"/>
      <c r="H395" s="515"/>
      <c r="I395" s="510"/>
      <c r="J395" s="505"/>
      <c r="K395" s="510"/>
      <c r="L395" s="503"/>
    </row>
    <row r="396">
      <c r="A396" s="499"/>
      <c r="B396" s="510"/>
      <c r="C396" s="510"/>
      <c r="D396" s="510"/>
      <c r="E396" s="510"/>
      <c r="F396" s="505"/>
      <c r="G396" s="507"/>
      <c r="H396" s="515"/>
      <c r="I396" s="510"/>
      <c r="J396" s="505"/>
      <c r="K396" s="510"/>
      <c r="L396" s="503"/>
    </row>
    <row r="397">
      <c r="A397" s="499"/>
      <c r="B397" s="510"/>
      <c r="C397" s="510"/>
      <c r="D397" s="510"/>
      <c r="E397" s="510"/>
      <c r="F397" s="505"/>
      <c r="G397" s="507"/>
      <c r="H397" s="515"/>
      <c r="I397" s="510"/>
      <c r="J397" s="505"/>
      <c r="K397" s="510"/>
      <c r="L397" s="503"/>
    </row>
    <row r="398">
      <c r="A398" s="499"/>
      <c r="B398" s="510"/>
      <c r="C398" s="510"/>
      <c r="D398" s="510"/>
      <c r="E398" s="510"/>
      <c r="F398" s="505"/>
      <c r="G398" s="507"/>
      <c r="H398" s="515"/>
      <c r="I398" s="510"/>
      <c r="J398" s="505"/>
      <c r="K398" s="510"/>
      <c r="L398" s="503"/>
    </row>
    <row r="399">
      <c r="A399" s="499"/>
      <c r="B399" s="510"/>
      <c r="C399" s="510"/>
      <c r="D399" s="510"/>
      <c r="E399" s="510"/>
      <c r="F399" s="505"/>
      <c r="G399" s="507"/>
      <c r="H399" s="515"/>
      <c r="I399" s="510"/>
      <c r="J399" s="505"/>
      <c r="K399" s="510"/>
      <c r="L399" s="503"/>
    </row>
    <row r="400">
      <c r="A400" s="499"/>
      <c r="B400" s="510"/>
      <c r="C400" s="510"/>
      <c r="D400" s="510"/>
      <c r="E400" s="510"/>
      <c r="F400" s="505"/>
      <c r="G400" s="507"/>
      <c r="H400" s="515"/>
      <c r="I400" s="510"/>
      <c r="J400" s="505"/>
      <c r="K400" s="510"/>
      <c r="L400" s="503"/>
    </row>
    <row r="401">
      <c r="A401" s="499"/>
      <c r="B401" s="510"/>
      <c r="C401" s="510"/>
      <c r="D401" s="510"/>
      <c r="E401" s="510"/>
      <c r="F401" s="505"/>
      <c r="G401" s="507"/>
      <c r="H401" s="515"/>
      <c r="I401" s="510"/>
      <c r="J401" s="505"/>
      <c r="K401" s="510"/>
      <c r="L401" s="503"/>
    </row>
    <row r="402">
      <c r="A402" s="499"/>
      <c r="B402" s="510"/>
      <c r="C402" s="510"/>
      <c r="D402" s="510"/>
      <c r="E402" s="510"/>
      <c r="F402" s="505"/>
      <c r="G402" s="507"/>
      <c r="H402" s="515"/>
      <c r="I402" s="510"/>
      <c r="J402" s="505"/>
      <c r="K402" s="510"/>
      <c r="L402" s="503"/>
    </row>
    <row r="403">
      <c r="A403" s="499"/>
      <c r="B403" s="510"/>
      <c r="C403" s="510"/>
      <c r="D403" s="510"/>
      <c r="E403" s="510"/>
      <c r="F403" s="505"/>
      <c r="G403" s="507"/>
      <c r="H403" s="515"/>
      <c r="I403" s="510"/>
      <c r="J403" s="505"/>
      <c r="K403" s="510"/>
      <c r="L403" s="503"/>
    </row>
    <row r="404">
      <c r="A404" s="499"/>
      <c r="B404" s="510"/>
      <c r="C404" s="510"/>
      <c r="D404" s="510"/>
      <c r="E404" s="510"/>
      <c r="F404" s="505"/>
      <c r="G404" s="507"/>
      <c r="H404" s="515"/>
      <c r="I404" s="510"/>
      <c r="J404" s="505"/>
      <c r="K404" s="510"/>
      <c r="L404" s="503"/>
    </row>
    <row r="405">
      <c r="A405" s="499"/>
      <c r="B405" s="510"/>
      <c r="C405" s="510"/>
      <c r="D405" s="510"/>
      <c r="E405" s="510"/>
      <c r="F405" s="505"/>
      <c r="G405" s="507"/>
      <c r="H405" s="515"/>
      <c r="I405" s="510"/>
      <c r="J405" s="505"/>
      <c r="K405" s="510"/>
      <c r="L405" s="503"/>
    </row>
    <row r="406">
      <c r="A406" s="499"/>
      <c r="B406" s="510"/>
      <c r="C406" s="510"/>
      <c r="D406" s="510"/>
      <c r="E406" s="510"/>
      <c r="F406" s="505"/>
      <c r="G406" s="507"/>
      <c r="H406" s="515"/>
      <c r="I406" s="510"/>
      <c r="J406" s="505"/>
      <c r="K406" s="510"/>
      <c r="L406" s="503"/>
    </row>
    <row r="407">
      <c r="A407" s="499"/>
      <c r="B407" s="510"/>
      <c r="C407" s="510"/>
      <c r="D407" s="510"/>
      <c r="E407" s="510"/>
      <c r="F407" s="505"/>
      <c r="G407" s="507"/>
      <c r="H407" s="515"/>
      <c r="I407" s="510"/>
      <c r="J407" s="505"/>
      <c r="K407" s="510"/>
      <c r="L407" s="503"/>
    </row>
    <row r="408">
      <c r="A408" s="499"/>
      <c r="B408" s="510"/>
      <c r="C408" s="510"/>
      <c r="D408" s="510"/>
      <c r="E408" s="510"/>
      <c r="F408" s="505"/>
      <c r="G408" s="507"/>
      <c r="H408" s="515"/>
      <c r="I408" s="510"/>
      <c r="J408" s="505"/>
      <c r="K408" s="510"/>
      <c r="L408" s="503"/>
    </row>
    <row r="409">
      <c r="A409" s="499"/>
      <c r="B409" s="510"/>
      <c r="C409" s="510"/>
      <c r="D409" s="510"/>
      <c r="E409" s="510"/>
      <c r="F409" s="505"/>
      <c r="G409" s="507"/>
      <c r="H409" s="515"/>
      <c r="I409" s="510"/>
      <c r="J409" s="505"/>
      <c r="K409" s="510"/>
      <c r="L409" s="503"/>
    </row>
    <row r="410">
      <c r="A410" s="499"/>
      <c r="B410" s="510"/>
      <c r="C410" s="510"/>
      <c r="D410" s="510"/>
      <c r="E410" s="510"/>
      <c r="F410" s="505"/>
      <c r="G410" s="507"/>
      <c r="H410" s="515"/>
      <c r="I410" s="510"/>
      <c r="J410" s="505"/>
      <c r="K410" s="510"/>
      <c r="L410" s="503"/>
    </row>
    <row r="411">
      <c r="A411" s="499"/>
      <c r="B411" s="510"/>
      <c r="C411" s="510"/>
      <c r="D411" s="510"/>
      <c r="E411" s="510"/>
      <c r="F411" s="505"/>
      <c r="G411" s="507"/>
      <c r="H411" s="515"/>
      <c r="I411" s="510"/>
      <c r="J411" s="505"/>
      <c r="K411" s="510"/>
      <c r="L411" s="503"/>
    </row>
    <row r="412">
      <c r="A412" s="499"/>
      <c r="B412" s="510"/>
      <c r="C412" s="510"/>
      <c r="D412" s="510"/>
      <c r="E412" s="510"/>
      <c r="F412" s="505"/>
      <c r="G412" s="507"/>
      <c r="H412" s="515"/>
      <c r="I412" s="510"/>
      <c r="J412" s="505"/>
      <c r="K412" s="510"/>
      <c r="L412" s="503"/>
    </row>
    <row r="413">
      <c r="A413" s="499"/>
      <c r="B413" s="510"/>
      <c r="C413" s="510"/>
      <c r="D413" s="510"/>
      <c r="E413" s="510"/>
      <c r="F413" s="505"/>
      <c r="G413" s="507"/>
      <c r="H413" s="515"/>
      <c r="I413" s="510"/>
      <c r="J413" s="505"/>
      <c r="K413" s="510"/>
      <c r="L413" s="503"/>
    </row>
    <row r="414">
      <c r="A414" s="499"/>
      <c r="B414" s="510"/>
      <c r="C414" s="510"/>
      <c r="D414" s="510"/>
      <c r="E414" s="510"/>
      <c r="F414" s="505"/>
      <c r="G414" s="507"/>
      <c r="H414" s="515"/>
      <c r="I414" s="510"/>
      <c r="J414" s="505"/>
      <c r="K414" s="510"/>
      <c r="L414" s="503"/>
    </row>
    <row r="415">
      <c r="A415" s="499"/>
      <c r="B415" s="510"/>
      <c r="C415" s="510"/>
      <c r="D415" s="510"/>
      <c r="E415" s="510"/>
      <c r="F415" s="505"/>
      <c r="G415" s="507"/>
      <c r="H415" s="515"/>
      <c r="I415" s="510"/>
      <c r="J415" s="505"/>
      <c r="K415" s="510"/>
      <c r="L415" s="503"/>
    </row>
    <row r="416">
      <c r="A416" s="499"/>
      <c r="B416" s="510"/>
      <c r="C416" s="510"/>
      <c r="D416" s="510"/>
      <c r="E416" s="510"/>
      <c r="F416" s="505"/>
      <c r="G416" s="507"/>
      <c r="H416" s="515"/>
      <c r="I416" s="510"/>
      <c r="J416" s="505"/>
      <c r="K416" s="510"/>
      <c r="L416" s="503"/>
    </row>
    <row r="417">
      <c r="A417" s="499"/>
      <c r="B417" s="510"/>
      <c r="C417" s="510"/>
      <c r="D417" s="510"/>
      <c r="E417" s="510"/>
      <c r="F417" s="505"/>
      <c r="G417" s="507"/>
      <c r="H417" s="515"/>
      <c r="I417" s="510"/>
      <c r="J417" s="505"/>
      <c r="K417" s="510"/>
      <c r="L417" s="503"/>
    </row>
    <row r="418">
      <c r="A418" s="499"/>
      <c r="B418" s="510"/>
      <c r="C418" s="510"/>
      <c r="D418" s="510"/>
      <c r="E418" s="510"/>
      <c r="F418" s="505"/>
      <c r="G418" s="507"/>
      <c r="H418" s="515"/>
      <c r="I418" s="510"/>
      <c r="J418" s="505"/>
      <c r="K418" s="510"/>
      <c r="L418" s="503"/>
    </row>
    <row r="419">
      <c r="A419" s="499"/>
      <c r="B419" s="510"/>
      <c r="C419" s="510"/>
      <c r="D419" s="510"/>
      <c r="E419" s="510"/>
      <c r="F419" s="505"/>
      <c r="G419" s="507"/>
      <c r="H419" s="515"/>
      <c r="I419" s="510"/>
      <c r="J419" s="505"/>
      <c r="K419" s="510"/>
      <c r="L419" s="503"/>
    </row>
    <row r="420">
      <c r="A420" s="499"/>
      <c r="B420" s="510"/>
      <c r="C420" s="510"/>
      <c r="D420" s="510"/>
      <c r="E420" s="510"/>
      <c r="F420" s="505"/>
      <c r="G420" s="507"/>
      <c r="H420" s="515"/>
      <c r="I420" s="510"/>
      <c r="J420" s="505"/>
      <c r="K420" s="510"/>
      <c r="L420" s="503"/>
    </row>
    <row r="421">
      <c r="A421" s="499"/>
      <c r="B421" s="510"/>
      <c r="C421" s="510"/>
      <c r="D421" s="510"/>
      <c r="E421" s="510"/>
      <c r="F421" s="505"/>
      <c r="G421" s="507"/>
      <c r="H421" s="515"/>
      <c r="I421" s="510"/>
      <c r="J421" s="505"/>
      <c r="K421" s="510"/>
      <c r="L421" s="503"/>
    </row>
    <row r="422">
      <c r="A422" s="499"/>
      <c r="B422" s="510"/>
      <c r="C422" s="510"/>
      <c r="D422" s="510"/>
      <c r="E422" s="510"/>
      <c r="F422" s="505"/>
      <c r="G422" s="507"/>
      <c r="H422" s="515"/>
      <c r="I422" s="510"/>
      <c r="J422" s="505"/>
      <c r="K422" s="510"/>
      <c r="L422" s="503"/>
    </row>
    <row r="423">
      <c r="A423" s="499"/>
      <c r="B423" s="510"/>
      <c r="C423" s="510"/>
      <c r="D423" s="510"/>
      <c r="E423" s="510"/>
      <c r="F423" s="505"/>
      <c r="G423" s="507"/>
      <c r="H423" s="515"/>
      <c r="I423" s="510"/>
      <c r="J423" s="505"/>
      <c r="K423" s="510"/>
      <c r="L423" s="503"/>
    </row>
    <row r="424">
      <c r="A424" s="499"/>
      <c r="B424" s="510"/>
      <c r="C424" s="510"/>
      <c r="D424" s="510"/>
      <c r="E424" s="510"/>
      <c r="F424" s="505"/>
      <c r="G424" s="507"/>
      <c r="H424" s="515"/>
      <c r="I424" s="510"/>
      <c r="J424" s="505"/>
      <c r="K424" s="510"/>
      <c r="L424" s="503"/>
    </row>
    <row r="425">
      <c r="A425" s="499"/>
      <c r="B425" s="510"/>
      <c r="C425" s="510"/>
      <c r="D425" s="510"/>
      <c r="E425" s="510"/>
      <c r="F425" s="505"/>
      <c r="G425" s="507"/>
      <c r="H425" s="515"/>
      <c r="I425" s="510"/>
      <c r="J425" s="505"/>
      <c r="K425" s="510"/>
      <c r="L425" s="503"/>
    </row>
    <row r="426">
      <c r="A426" s="499"/>
      <c r="B426" s="510"/>
      <c r="C426" s="510"/>
      <c r="D426" s="510"/>
      <c r="E426" s="510"/>
      <c r="F426" s="505"/>
      <c r="G426" s="507"/>
      <c r="H426" s="515"/>
      <c r="I426" s="510"/>
      <c r="J426" s="505"/>
      <c r="K426" s="510"/>
      <c r="L426" s="503"/>
    </row>
    <row r="427">
      <c r="A427" s="499"/>
      <c r="B427" s="510"/>
      <c r="C427" s="510"/>
      <c r="D427" s="510"/>
      <c r="E427" s="510"/>
      <c r="F427" s="505"/>
      <c r="G427" s="507"/>
      <c r="H427" s="515"/>
      <c r="I427" s="510"/>
      <c r="J427" s="505"/>
      <c r="K427" s="510"/>
      <c r="L427" s="503"/>
    </row>
    <row r="428">
      <c r="A428" s="499"/>
      <c r="B428" s="510"/>
      <c r="C428" s="510"/>
      <c r="D428" s="510"/>
      <c r="E428" s="510"/>
      <c r="F428" s="505"/>
      <c r="G428" s="507"/>
      <c r="H428" s="515"/>
      <c r="I428" s="510"/>
      <c r="J428" s="505"/>
      <c r="K428" s="510"/>
      <c r="L428" s="503"/>
    </row>
    <row r="429">
      <c r="A429" s="499"/>
      <c r="B429" s="510"/>
      <c r="C429" s="510"/>
      <c r="D429" s="510"/>
      <c r="E429" s="510"/>
      <c r="F429" s="505"/>
      <c r="G429" s="507"/>
      <c r="H429" s="515"/>
      <c r="I429" s="510"/>
      <c r="J429" s="505"/>
      <c r="K429" s="510"/>
      <c r="L429" s="503"/>
    </row>
    <row r="430">
      <c r="A430" s="499"/>
      <c r="B430" s="510"/>
      <c r="C430" s="510"/>
      <c r="D430" s="510"/>
      <c r="E430" s="510"/>
      <c r="F430" s="505"/>
      <c r="G430" s="507"/>
      <c r="H430" s="515"/>
      <c r="I430" s="510"/>
      <c r="J430" s="505"/>
      <c r="K430" s="510"/>
      <c r="L430" s="503"/>
    </row>
    <row r="431">
      <c r="A431" s="499"/>
      <c r="B431" s="510"/>
      <c r="C431" s="510"/>
      <c r="D431" s="510"/>
      <c r="E431" s="510"/>
      <c r="F431" s="505"/>
      <c r="G431" s="507"/>
      <c r="H431" s="515"/>
      <c r="I431" s="510"/>
      <c r="J431" s="505"/>
      <c r="K431" s="510"/>
      <c r="L431" s="503"/>
    </row>
    <row r="432">
      <c r="A432" s="499"/>
      <c r="B432" s="510"/>
      <c r="C432" s="510"/>
      <c r="D432" s="510"/>
      <c r="E432" s="510"/>
      <c r="F432" s="505"/>
      <c r="G432" s="507"/>
      <c r="H432" s="515"/>
      <c r="I432" s="510"/>
      <c r="J432" s="505"/>
      <c r="K432" s="510"/>
      <c r="L432" s="503"/>
    </row>
    <row r="433">
      <c r="A433" s="499"/>
      <c r="B433" s="510"/>
      <c r="C433" s="510"/>
      <c r="D433" s="510"/>
      <c r="E433" s="510"/>
      <c r="F433" s="505"/>
      <c r="G433" s="507"/>
      <c r="H433" s="515"/>
      <c r="I433" s="510"/>
      <c r="J433" s="505"/>
      <c r="K433" s="510"/>
      <c r="L433" s="503"/>
    </row>
    <row r="434">
      <c r="A434" s="499"/>
      <c r="B434" s="510"/>
      <c r="C434" s="510"/>
      <c r="D434" s="510"/>
      <c r="E434" s="510"/>
      <c r="F434" s="505"/>
      <c r="G434" s="507"/>
      <c r="H434" s="515"/>
      <c r="I434" s="510"/>
      <c r="J434" s="505"/>
      <c r="K434" s="510"/>
      <c r="L434" s="503"/>
    </row>
    <row r="435">
      <c r="A435" s="499"/>
      <c r="B435" s="510"/>
      <c r="C435" s="510"/>
      <c r="D435" s="510"/>
      <c r="E435" s="510"/>
      <c r="F435" s="505"/>
      <c r="G435" s="507"/>
      <c r="H435" s="515"/>
      <c r="I435" s="510"/>
      <c r="J435" s="505"/>
      <c r="K435" s="510"/>
      <c r="L435" s="503"/>
    </row>
    <row r="436">
      <c r="A436" s="499"/>
      <c r="B436" s="510"/>
      <c r="C436" s="510"/>
      <c r="D436" s="510"/>
      <c r="E436" s="510"/>
      <c r="F436" s="505"/>
      <c r="G436" s="507"/>
      <c r="H436" s="515"/>
      <c r="I436" s="510"/>
      <c r="J436" s="505"/>
      <c r="K436" s="510"/>
      <c r="L436" s="503"/>
    </row>
    <row r="437">
      <c r="A437" s="499"/>
      <c r="B437" s="510"/>
      <c r="C437" s="510"/>
      <c r="D437" s="510"/>
      <c r="E437" s="510"/>
      <c r="F437" s="505"/>
      <c r="G437" s="507"/>
      <c r="H437" s="515"/>
      <c r="I437" s="510"/>
      <c r="J437" s="505"/>
      <c r="K437" s="510"/>
      <c r="L437" s="503"/>
    </row>
    <row r="438">
      <c r="A438" s="499"/>
      <c r="B438" s="510"/>
      <c r="C438" s="510"/>
      <c r="D438" s="510"/>
      <c r="E438" s="510"/>
      <c r="F438" s="505"/>
      <c r="G438" s="507"/>
      <c r="H438" s="515"/>
      <c r="I438" s="510"/>
      <c r="J438" s="505"/>
      <c r="K438" s="510"/>
      <c r="L438" s="503"/>
    </row>
    <row r="439">
      <c r="A439" s="499"/>
      <c r="B439" s="510"/>
      <c r="C439" s="510"/>
      <c r="D439" s="510"/>
      <c r="E439" s="510"/>
      <c r="F439" s="505"/>
      <c r="G439" s="507"/>
      <c r="H439" s="515"/>
      <c r="I439" s="510"/>
      <c r="J439" s="505"/>
      <c r="K439" s="510"/>
      <c r="L439" s="503"/>
    </row>
    <row r="440">
      <c r="A440" s="499"/>
      <c r="B440" s="510"/>
      <c r="C440" s="510"/>
      <c r="D440" s="510"/>
      <c r="E440" s="510"/>
      <c r="F440" s="505"/>
      <c r="G440" s="507"/>
      <c r="H440" s="515"/>
      <c r="I440" s="510"/>
      <c r="J440" s="505"/>
      <c r="K440" s="510"/>
      <c r="L440" s="503"/>
    </row>
    <row r="441">
      <c r="A441" s="499"/>
      <c r="B441" s="510"/>
      <c r="C441" s="510"/>
      <c r="D441" s="510"/>
      <c r="E441" s="510"/>
      <c r="F441" s="505"/>
      <c r="G441" s="507"/>
      <c r="H441" s="515"/>
      <c r="I441" s="510"/>
      <c r="J441" s="505"/>
      <c r="K441" s="510"/>
      <c r="L441" s="503"/>
    </row>
    <row r="442">
      <c r="A442" s="499"/>
      <c r="B442" s="510"/>
      <c r="C442" s="510"/>
      <c r="D442" s="510"/>
      <c r="E442" s="510"/>
      <c r="F442" s="505"/>
      <c r="G442" s="507"/>
      <c r="H442" s="515"/>
      <c r="I442" s="510"/>
      <c r="J442" s="505"/>
      <c r="K442" s="510"/>
      <c r="L442" s="503"/>
    </row>
    <row r="443">
      <c r="A443" s="499"/>
      <c r="B443" s="510"/>
      <c r="C443" s="510"/>
      <c r="D443" s="510"/>
      <c r="E443" s="510"/>
      <c r="F443" s="505"/>
      <c r="G443" s="507"/>
      <c r="H443" s="515"/>
      <c r="I443" s="510"/>
      <c r="J443" s="505"/>
      <c r="K443" s="510"/>
      <c r="L443" s="503"/>
    </row>
    <row r="444">
      <c r="A444" s="499"/>
      <c r="B444" s="510"/>
      <c r="C444" s="510"/>
      <c r="D444" s="510"/>
      <c r="E444" s="510"/>
      <c r="F444" s="505"/>
      <c r="G444" s="507"/>
      <c r="H444" s="515"/>
      <c r="I444" s="510"/>
      <c r="J444" s="505"/>
      <c r="K444" s="510"/>
      <c r="L444" s="503"/>
    </row>
    <row r="445">
      <c r="A445" s="499"/>
      <c r="B445" s="510"/>
      <c r="C445" s="510"/>
      <c r="D445" s="510"/>
      <c r="E445" s="510"/>
      <c r="F445" s="505"/>
      <c r="G445" s="507"/>
      <c r="H445" s="515"/>
      <c r="I445" s="510"/>
      <c r="J445" s="505"/>
      <c r="K445" s="510"/>
      <c r="L445" s="503"/>
    </row>
    <row r="446">
      <c r="A446" s="499"/>
      <c r="B446" s="510"/>
      <c r="C446" s="510"/>
      <c r="D446" s="510"/>
      <c r="E446" s="510"/>
      <c r="F446" s="505"/>
      <c r="G446" s="507"/>
      <c r="H446" s="515"/>
      <c r="I446" s="510"/>
      <c r="J446" s="505"/>
      <c r="K446" s="510"/>
      <c r="L446" s="503"/>
    </row>
    <row r="447">
      <c r="A447" s="499"/>
      <c r="B447" s="510"/>
      <c r="C447" s="510"/>
      <c r="D447" s="510"/>
      <c r="E447" s="510"/>
      <c r="F447" s="505"/>
      <c r="G447" s="507"/>
      <c r="H447" s="515"/>
      <c r="I447" s="510"/>
      <c r="J447" s="505"/>
      <c r="K447" s="510"/>
      <c r="L447" s="503"/>
    </row>
    <row r="448">
      <c r="A448" s="499"/>
      <c r="B448" s="510"/>
      <c r="C448" s="510"/>
      <c r="D448" s="510"/>
      <c r="E448" s="510"/>
      <c r="F448" s="505"/>
      <c r="G448" s="507"/>
      <c r="H448" s="515"/>
      <c r="I448" s="510"/>
      <c r="J448" s="505"/>
      <c r="K448" s="510"/>
      <c r="L448" s="503"/>
    </row>
    <row r="449">
      <c r="A449" s="499"/>
      <c r="B449" s="510"/>
      <c r="C449" s="510"/>
      <c r="D449" s="510"/>
      <c r="E449" s="510"/>
      <c r="F449" s="505"/>
      <c r="G449" s="507"/>
      <c r="H449" s="515"/>
      <c r="I449" s="510"/>
      <c r="J449" s="505"/>
      <c r="K449" s="510"/>
      <c r="L449" s="503"/>
    </row>
    <row r="450">
      <c r="A450" s="499"/>
      <c r="B450" s="510"/>
      <c r="C450" s="510"/>
      <c r="D450" s="510"/>
      <c r="E450" s="510"/>
      <c r="F450" s="505"/>
      <c r="G450" s="507"/>
      <c r="H450" s="515"/>
      <c r="I450" s="510"/>
      <c r="J450" s="505"/>
      <c r="K450" s="510"/>
      <c r="L450" s="503"/>
    </row>
    <row r="451">
      <c r="A451" s="499"/>
      <c r="B451" s="510"/>
      <c r="C451" s="510"/>
      <c r="D451" s="510"/>
      <c r="E451" s="510"/>
      <c r="F451" s="505"/>
      <c r="G451" s="507"/>
      <c r="H451" s="515"/>
      <c r="I451" s="510"/>
      <c r="J451" s="505"/>
      <c r="K451" s="510"/>
      <c r="L451" s="503"/>
    </row>
    <row r="452">
      <c r="A452" s="499"/>
      <c r="B452" s="510"/>
      <c r="C452" s="510"/>
      <c r="D452" s="510"/>
      <c r="E452" s="510"/>
      <c r="F452" s="505"/>
      <c r="G452" s="507"/>
      <c r="H452" s="515"/>
      <c r="I452" s="510"/>
      <c r="J452" s="505"/>
      <c r="K452" s="510"/>
      <c r="L452" s="503"/>
    </row>
    <row r="453">
      <c r="A453" s="499"/>
      <c r="B453" s="510"/>
      <c r="C453" s="510"/>
      <c r="D453" s="510"/>
      <c r="E453" s="510"/>
      <c r="F453" s="505"/>
      <c r="G453" s="507"/>
      <c r="H453" s="515"/>
      <c r="I453" s="510"/>
      <c r="J453" s="505"/>
      <c r="K453" s="510"/>
      <c r="L453" s="503"/>
    </row>
    <row r="454">
      <c r="A454" s="499"/>
      <c r="B454" s="510"/>
      <c r="C454" s="510"/>
      <c r="D454" s="510"/>
      <c r="E454" s="510"/>
      <c r="F454" s="505"/>
      <c r="G454" s="507"/>
      <c r="H454" s="515"/>
      <c r="I454" s="510"/>
      <c r="J454" s="505"/>
      <c r="K454" s="510"/>
      <c r="L454" s="503"/>
    </row>
    <row r="455">
      <c r="A455" s="499"/>
      <c r="B455" s="510"/>
      <c r="C455" s="510"/>
      <c r="D455" s="510"/>
      <c r="E455" s="510"/>
      <c r="F455" s="505"/>
      <c r="G455" s="507"/>
      <c r="H455" s="515"/>
      <c r="I455" s="510"/>
      <c r="J455" s="505"/>
      <c r="K455" s="510"/>
      <c r="L455" s="503"/>
    </row>
    <row r="456">
      <c r="A456" s="499"/>
      <c r="B456" s="510"/>
      <c r="C456" s="510"/>
      <c r="D456" s="510"/>
      <c r="E456" s="510"/>
      <c r="F456" s="505"/>
      <c r="G456" s="507"/>
      <c r="H456" s="515"/>
      <c r="I456" s="510"/>
      <c r="J456" s="505"/>
      <c r="K456" s="510"/>
      <c r="L456" s="503"/>
    </row>
    <row r="457">
      <c r="A457" s="499"/>
      <c r="B457" s="510"/>
      <c r="C457" s="510"/>
      <c r="D457" s="510"/>
      <c r="E457" s="510"/>
      <c r="F457" s="505"/>
      <c r="G457" s="507"/>
      <c r="H457" s="515"/>
      <c r="I457" s="510"/>
      <c r="J457" s="505"/>
      <c r="K457" s="510"/>
      <c r="L457" s="503"/>
    </row>
    <row r="458">
      <c r="A458" s="499"/>
      <c r="B458" s="510"/>
      <c r="C458" s="510"/>
      <c r="D458" s="510"/>
      <c r="E458" s="510"/>
      <c r="F458" s="505"/>
      <c r="G458" s="507"/>
      <c r="H458" s="515"/>
      <c r="I458" s="510"/>
      <c r="J458" s="505"/>
      <c r="K458" s="510"/>
      <c r="L458" s="503"/>
    </row>
    <row r="459">
      <c r="A459" s="499"/>
      <c r="B459" s="510"/>
      <c r="C459" s="510"/>
      <c r="D459" s="510"/>
      <c r="E459" s="510"/>
      <c r="F459" s="505"/>
      <c r="G459" s="507"/>
      <c r="H459" s="515"/>
      <c r="I459" s="510"/>
      <c r="J459" s="505"/>
      <c r="K459" s="510"/>
      <c r="L459" s="503"/>
    </row>
    <row r="460">
      <c r="A460" s="499"/>
      <c r="B460" s="510"/>
      <c r="C460" s="510"/>
      <c r="D460" s="510"/>
      <c r="E460" s="510"/>
      <c r="F460" s="505"/>
      <c r="G460" s="507"/>
      <c r="H460" s="515"/>
      <c r="I460" s="510"/>
      <c r="J460" s="505"/>
      <c r="K460" s="510"/>
      <c r="L460" s="503"/>
    </row>
    <row r="461">
      <c r="A461" s="499"/>
      <c r="B461" s="510"/>
      <c r="C461" s="510"/>
      <c r="D461" s="510"/>
      <c r="E461" s="510"/>
      <c r="F461" s="505"/>
      <c r="G461" s="507"/>
      <c r="H461" s="515"/>
      <c r="I461" s="510"/>
      <c r="J461" s="505"/>
      <c r="K461" s="510"/>
      <c r="L461" s="503"/>
    </row>
    <row r="462">
      <c r="A462" s="499"/>
      <c r="B462" s="510"/>
      <c r="C462" s="510"/>
      <c r="D462" s="510"/>
      <c r="E462" s="510"/>
      <c r="F462" s="505"/>
      <c r="G462" s="507"/>
      <c r="H462" s="515"/>
      <c r="I462" s="510"/>
      <c r="J462" s="505"/>
      <c r="K462" s="510"/>
      <c r="L462" s="503"/>
    </row>
    <row r="463">
      <c r="A463" s="499"/>
      <c r="B463" s="510"/>
      <c r="C463" s="510"/>
      <c r="D463" s="510"/>
      <c r="E463" s="510"/>
      <c r="F463" s="505"/>
      <c r="G463" s="507"/>
      <c r="H463" s="515"/>
      <c r="I463" s="510"/>
      <c r="J463" s="505"/>
      <c r="K463" s="510"/>
      <c r="L463" s="503"/>
    </row>
    <row r="464">
      <c r="A464" s="499"/>
      <c r="B464" s="510"/>
      <c r="C464" s="510"/>
      <c r="D464" s="510"/>
      <c r="E464" s="510"/>
      <c r="F464" s="505"/>
      <c r="G464" s="507"/>
      <c r="H464" s="515"/>
      <c r="I464" s="510"/>
      <c r="J464" s="505"/>
      <c r="K464" s="510"/>
      <c r="L464" s="503"/>
    </row>
    <row r="465">
      <c r="A465" s="499"/>
      <c r="B465" s="510"/>
      <c r="C465" s="510"/>
      <c r="D465" s="510"/>
      <c r="E465" s="510"/>
      <c r="F465" s="505"/>
      <c r="G465" s="507"/>
      <c r="H465" s="515"/>
      <c r="I465" s="510"/>
      <c r="J465" s="505"/>
      <c r="K465" s="510"/>
      <c r="L465" s="503"/>
    </row>
    <row r="466">
      <c r="A466" s="499"/>
      <c r="B466" s="510"/>
      <c r="C466" s="510"/>
      <c r="D466" s="510"/>
      <c r="E466" s="510"/>
      <c r="F466" s="505"/>
      <c r="G466" s="507"/>
      <c r="H466" s="515"/>
      <c r="I466" s="510"/>
      <c r="J466" s="505"/>
      <c r="K466" s="510"/>
      <c r="L466" s="503"/>
    </row>
    <row r="467">
      <c r="A467" s="499"/>
      <c r="B467" s="510"/>
      <c r="C467" s="510"/>
      <c r="D467" s="510"/>
      <c r="E467" s="510"/>
      <c r="F467" s="505"/>
      <c r="G467" s="507"/>
      <c r="H467" s="515"/>
      <c r="I467" s="510"/>
      <c r="J467" s="505"/>
      <c r="K467" s="510"/>
      <c r="L467" s="503"/>
    </row>
    <row r="468">
      <c r="A468" s="499"/>
      <c r="B468" s="510"/>
      <c r="C468" s="510"/>
      <c r="D468" s="510"/>
      <c r="E468" s="510"/>
      <c r="F468" s="505"/>
      <c r="G468" s="507"/>
      <c r="H468" s="515"/>
      <c r="I468" s="510"/>
      <c r="J468" s="505"/>
      <c r="K468" s="510"/>
      <c r="L468" s="503"/>
    </row>
    <row r="469">
      <c r="A469" s="499"/>
      <c r="B469" s="510"/>
      <c r="C469" s="510"/>
      <c r="D469" s="510"/>
      <c r="E469" s="510"/>
      <c r="F469" s="505"/>
      <c r="G469" s="507"/>
      <c r="H469" s="515"/>
      <c r="I469" s="510"/>
      <c r="J469" s="505"/>
      <c r="K469" s="510"/>
      <c r="L469" s="503"/>
    </row>
    <row r="470">
      <c r="A470" s="499"/>
      <c r="B470" s="510"/>
      <c r="C470" s="510"/>
      <c r="D470" s="510"/>
      <c r="E470" s="510"/>
      <c r="F470" s="505"/>
      <c r="G470" s="507"/>
      <c r="H470" s="515"/>
      <c r="I470" s="510"/>
      <c r="J470" s="505"/>
      <c r="K470" s="510"/>
      <c r="L470" s="503"/>
    </row>
    <row r="471">
      <c r="A471" s="499"/>
      <c r="B471" s="510"/>
      <c r="C471" s="510"/>
      <c r="D471" s="510"/>
      <c r="E471" s="510"/>
      <c r="F471" s="505"/>
      <c r="G471" s="507"/>
      <c r="H471" s="515"/>
      <c r="I471" s="510"/>
      <c r="J471" s="505"/>
      <c r="K471" s="510"/>
      <c r="L471" s="503"/>
    </row>
    <row r="472">
      <c r="A472" s="499"/>
      <c r="B472" s="510"/>
      <c r="C472" s="510"/>
      <c r="D472" s="510"/>
      <c r="E472" s="510"/>
      <c r="F472" s="505"/>
      <c r="G472" s="507"/>
      <c r="H472" s="515"/>
      <c r="I472" s="510"/>
      <c r="J472" s="505"/>
      <c r="K472" s="510"/>
      <c r="L472" s="503"/>
    </row>
    <row r="473">
      <c r="A473" s="499"/>
      <c r="B473" s="510"/>
      <c r="C473" s="510"/>
      <c r="D473" s="510"/>
      <c r="E473" s="510"/>
      <c r="F473" s="505"/>
      <c r="G473" s="507"/>
      <c r="H473" s="515"/>
      <c r="I473" s="510"/>
      <c r="J473" s="505"/>
      <c r="K473" s="510"/>
      <c r="L473" s="503"/>
    </row>
    <row r="474">
      <c r="A474" s="499"/>
      <c r="B474" s="510"/>
      <c r="C474" s="510"/>
      <c r="D474" s="510"/>
      <c r="E474" s="510"/>
      <c r="F474" s="505"/>
      <c r="G474" s="507"/>
      <c r="H474" s="515"/>
      <c r="I474" s="510"/>
      <c r="J474" s="505"/>
      <c r="K474" s="510"/>
      <c r="L474" s="503"/>
    </row>
    <row r="475">
      <c r="A475" s="499"/>
      <c r="B475" s="510"/>
      <c r="C475" s="510"/>
      <c r="D475" s="510"/>
      <c r="E475" s="510"/>
      <c r="F475" s="505"/>
      <c r="G475" s="507"/>
      <c r="H475" s="515"/>
      <c r="I475" s="510"/>
      <c r="J475" s="505"/>
      <c r="K475" s="510"/>
      <c r="L475" s="503"/>
    </row>
    <row r="476">
      <c r="A476" s="499"/>
      <c r="B476" s="510"/>
      <c r="C476" s="510"/>
      <c r="D476" s="510"/>
      <c r="E476" s="510"/>
      <c r="F476" s="505"/>
      <c r="G476" s="507"/>
      <c r="H476" s="515"/>
      <c r="I476" s="510"/>
      <c r="J476" s="505"/>
      <c r="K476" s="510"/>
      <c r="L476" s="503"/>
    </row>
    <row r="477">
      <c r="A477" s="499"/>
      <c r="B477" s="510"/>
      <c r="C477" s="510"/>
      <c r="D477" s="510"/>
      <c r="E477" s="510"/>
      <c r="F477" s="505"/>
      <c r="G477" s="507"/>
      <c r="H477" s="515"/>
      <c r="I477" s="510"/>
      <c r="J477" s="505"/>
      <c r="K477" s="510"/>
      <c r="L477" s="503"/>
    </row>
    <row r="478">
      <c r="A478" s="499"/>
      <c r="B478" s="510"/>
      <c r="C478" s="510"/>
      <c r="D478" s="510"/>
      <c r="E478" s="510"/>
      <c r="F478" s="505"/>
      <c r="G478" s="507"/>
      <c r="H478" s="515"/>
      <c r="I478" s="510"/>
      <c r="J478" s="505"/>
      <c r="K478" s="510"/>
      <c r="L478" s="503"/>
    </row>
    <row r="479">
      <c r="A479" s="499"/>
      <c r="B479" s="510"/>
      <c r="C479" s="510"/>
      <c r="D479" s="510"/>
      <c r="E479" s="510"/>
      <c r="F479" s="505"/>
      <c r="G479" s="507"/>
      <c r="H479" s="515"/>
      <c r="I479" s="510"/>
      <c r="J479" s="505"/>
      <c r="K479" s="510"/>
      <c r="L479" s="503"/>
    </row>
    <row r="480">
      <c r="A480" s="499"/>
      <c r="B480" s="510"/>
      <c r="C480" s="510"/>
      <c r="D480" s="510"/>
      <c r="E480" s="510"/>
      <c r="F480" s="505"/>
      <c r="G480" s="507"/>
      <c r="H480" s="515"/>
      <c r="I480" s="510"/>
      <c r="J480" s="505"/>
      <c r="K480" s="510"/>
      <c r="L480" s="503"/>
    </row>
    <row r="481">
      <c r="A481" s="499"/>
      <c r="B481" s="510"/>
      <c r="C481" s="510"/>
      <c r="D481" s="510"/>
      <c r="E481" s="510"/>
      <c r="F481" s="505"/>
      <c r="G481" s="507"/>
      <c r="H481" s="515"/>
      <c r="I481" s="510"/>
      <c r="J481" s="505"/>
      <c r="K481" s="510"/>
      <c r="L481" s="503"/>
    </row>
    <row r="482">
      <c r="A482" s="499"/>
      <c r="B482" s="510"/>
      <c r="C482" s="510"/>
      <c r="D482" s="510"/>
      <c r="E482" s="510"/>
      <c r="F482" s="505"/>
      <c r="G482" s="507"/>
      <c r="H482" s="515"/>
      <c r="I482" s="510"/>
      <c r="J482" s="505"/>
      <c r="K482" s="510"/>
      <c r="L482" s="503"/>
    </row>
    <row r="483">
      <c r="A483" s="499"/>
      <c r="B483" s="510"/>
      <c r="C483" s="510"/>
      <c r="D483" s="510"/>
      <c r="E483" s="510"/>
      <c r="F483" s="505"/>
      <c r="G483" s="507"/>
      <c r="H483" s="515"/>
      <c r="I483" s="510"/>
      <c r="J483" s="505"/>
      <c r="K483" s="510"/>
      <c r="L483" s="503"/>
    </row>
    <row r="484">
      <c r="A484" s="499"/>
      <c r="B484" s="510"/>
      <c r="C484" s="510"/>
      <c r="D484" s="510"/>
      <c r="E484" s="510"/>
      <c r="F484" s="505"/>
      <c r="G484" s="507"/>
      <c r="H484" s="515"/>
      <c r="I484" s="510"/>
      <c r="J484" s="505"/>
      <c r="K484" s="510"/>
      <c r="L484" s="503"/>
    </row>
    <row r="485">
      <c r="A485" s="499"/>
      <c r="B485" s="510"/>
      <c r="C485" s="510"/>
      <c r="D485" s="510"/>
      <c r="E485" s="510"/>
      <c r="F485" s="505"/>
      <c r="G485" s="507"/>
      <c r="H485" s="515"/>
      <c r="I485" s="510"/>
      <c r="J485" s="505"/>
      <c r="K485" s="510"/>
      <c r="L485" s="503"/>
    </row>
    <row r="486">
      <c r="A486" s="499"/>
      <c r="B486" s="510"/>
      <c r="C486" s="510"/>
      <c r="D486" s="510"/>
      <c r="E486" s="510"/>
      <c r="F486" s="505"/>
      <c r="G486" s="507"/>
      <c r="H486" s="515"/>
      <c r="I486" s="510"/>
      <c r="J486" s="505"/>
      <c r="K486" s="510"/>
      <c r="L486" s="503"/>
    </row>
    <row r="487">
      <c r="A487" s="499"/>
      <c r="B487" s="510"/>
      <c r="C487" s="510"/>
      <c r="D487" s="510"/>
      <c r="E487" s="510"/>
      <c r="F487" s="505"/>
      <c r="G487" s="507"/>
      <c r="H487" s="515"/>
      <c r="I487" s="510"/>
      <c r="J487" s="505"/>
      <c r="K487" s="510"/>
      <c r="L487" s="503"/>
    </row>
    <row r="488">
      <c r="A488" s="499"/>
      <c r="B488" s="510"/>
      <c r="C488" s="510"/>
      <c r="D488" s="510"/>
      <c r="E488" s="510"/>
      <c r="F488" s="505"/>
      <c r="G488" s="507"/>
      <c r="H488" s="515"/>
      <c r="I488" s="510"/>
      <c r="J488" s="505"/>
      <c r="K488" s="510"/>
      <c r="L488" s="503"/>
    </row>
    <row r="489">
      <c r="A489" s="499"/>
      <c r="B489" s="510"/>
      <c r="C489" s="510"/>
      <c r="D489" s="510"/>
      <c r="E489" s="510"/>
      <c r="F489" s="505"/>
      <c r="G489" s="507"/>
      <c r="H489" s="515"/>
      <c r="I489" s="510"/>
      <c r="J489" s="505"/>
      <c r="K489" s="510"/>
      <c r="L489" s="503"/>
    </row>
    <row r="490">
      <c r="A490" s="499"/>
      <c r="B490" s="510"/>
      <c r="C490" s="510"/>
      <c r="D490" s="510"/>
      <c r="E490" s="510"/>
      <c r="F490" s="505"/>
      <c r="G490" s="507"/>
      <c r="H490" s="515"/>
      <c r="I490" s="510"/>
      <c r="J490" s="505"/>
      <c r="K490" s="510"/>
      <c r="L490" s="503"/>
    </row>
    <row r="491">
      <c r="A491" s="499"/>
      <c r="B491" s="510"/>
      <c r="C491" s="510"/>
      <c r="D491" s="510"/>
      <c r="E491" s="510"/>
      <c r="F491" s="505"/>
      <c r="G491" s="507"/>
      <c r="H491" s="515"/>
      <c r="I491" s="510"/>
      <c r="J491" s="505"/>
      <c r="K491" s="510"/>
      <c r="L491" s="503"/>
    </row>
    <row r="492">
      <c r="A492" s="499"/>
      <c r="B492" s="510"/>
      <c r="C492" s="510"/>
      <c r="D492" s="510"/>
      <c r="E492" s="510"/>
      <c r="F492" s="505"/>
      <c r="G492" s="507"/>
      <c r="H492" s="515"/>
      <c r="I492" s="510"/>
      <c r="J492" s="505"/>
      <c r="K492" s="510"/>
      <c r="L492" s="503"/>
    </row>
    <row r="493">
      <c r="A493" s="499"/>
      <c r="B493" s="510"/>
      <c r="C493" s="510"/>
      <c r="D493" s="510"/>
      <c r="E493" s="510"/>
      <c r="F493" s="505"/>
      <c r="G493" s="507"/>
      <c r="H493" s="515"/>
      <c r="I493" s="510"/>
      <c r="J493" s="505"/>
      <c r="K493" s="510"/>
      <c r="L493" s="503"/>
    </row>
    <row r="494">
      <c r="A494" s="499"/>
      <c r="B494" s="510"/>
      <c r="C494" s="510"/>
      <c r="D494" s="510"/>
      <c r="E494" s="510"/>
      <c r="F494" s="505"/>
      <c r="G494" s="507"/>
      <c r="H494" s="515"/>
      <c r="I494" s="510"/>
      <c r="J494" s="505"/>
      <c r="K494" s="510"/>
      <c r="L494" s="503"/>
    </row>
    <row r="495">
      <c r="A495" s="499"/>
      <c r="B495" s="510"/>
      <c r="C495" s="510"/>
      <c r="D495" s="510"/>
      <c r="E495" s="510"/>
      <c r="F495" s="505"/>
      <c r="G495" s="507"/>
      <c r="H495" s="515"/>
      <c r="I495" s="510"/>
      <c r="J495" s="505"/>
      <c r="K495" s="510"/>
      <c r="L495" s="503"/>
    </row>
    <row r="496">
      <c r="A496" s="499"/>
      <c r="B496" s="510"/>
      <c r="C496" s="510"/>
      <c r="D496" s="510"/>
      <c r="E496" s="510"/>
      <c r="F496" s="505"/>
      <c r="G496" s="507"/>
      <c r="H496" s="515"/>
      <c r="I496" s="510"/>
      <c r="J496" s="505"/>
      <c r="K496" s="510"/>
      <c r="L496" s="503"/>
    </row>
    <row r="497">
      <c r="A497" s="499"/>
      <c r="B497" s="510"/>
      <c r="C497" s="510"/>
      <c r="D497" s="510"/>
      <c r="E497" s="510"/>
      <c r="F497" s="505"/>
      <c r="G497" s="507"/>
      <c r="H497" s="515"/>
      <c r="I497" s="510"/>
      <c r="J497" s="505"/>
      <c r="K497" s="510"/>
      <c r="L497" s="503"/>
    </row>
    <row r="498">
      <c r="A498" s="499"/>
      <c r="B498" s="510"/>
      <c r="C498" s="510"/>
      <c r="D498" s="510"/>
      <c r="E498" s="510"/>
      <c r="F498" s="505"/>
      <c r="G498" s="507"/>
      <c r="H498" s="515"/>
      <c r="I498" s="510"/>
      <c r="J498" s="505"/>
      <c r="K498" s="510"/>
      <c r="L498" s="503"/>
    </row>
    <row r="499">
      <c r="A499" s="499"/>
      <c r="B499" s="510"/>
      <c r="C499" s="510"/>
      <c r="D499" s="510"/>
      <c r="E499" s="510"/>
      <c r="F499" s="505"/>
      <c r="G499" s="507"/>
      <c r="H499" s="515"/>
      <c r="I499" s="510"/>
      <c r="J499" s="505"/>
      <c r="K499" s="510"/>
      <c r="L499" s="503"/>
    </row>
    <row r="500">
      <c r="A500" s="499"/>
      <c r="B500" s="510"/>
      <c r="C500" s="510"/>
      <c r="D500" s="510"/>
      <c r="E500" s="510"/>
      <c r="F500" s="505"/>
      <c r="G500" s="507"/>
      <c r="H500" s="515"/>
      <c r="I500" s="510"/>
      <c r="J500" s="505"/>
      <c r="K500" s="510"/>
      <c r="L500" s="503"/>
    </row>
    <row r="501">
      <c r="A501" s="499"/>
      <c r="B501" s="510"/>
      <c r="C501" s="510"/>
      <c r="D501" s="510"/>
      <c r="E501" s="510"/>
      <c r="F501" s="505"/>
      <c r="G501" s="507"/>
      <c r="H501" s="515"/>
      <c r="I501" s="510"/>
      <c r="J501" s="505"/>
      <c r="K501" s="510"/>
      <c r="L501" s="503"/>
    </row>
    <row r="502">
      <c r="A502" s="499"/>
      <c r="B502" s="510"/>
      <c r="C502" s="510"/>
      <c r="D502" s="510"/>
      <c r="E502" s="510"/>
      <c r="F502" s="505"/>
      <c r="G502" s="507"/>
      <c r="H502" s="515"/>
      <c r="I502" s="510"/>
      <c r="J502" s="505"/>
      <c r="K502" s="510"/>
      <c r="L502" s="503"/>
    </row>
    <row r="503">
      <c r="A503" s="499"/>
      <c r="B503" s="510"/>
      <c r="C503" s="510"/>
      <c r="D503" s="510"/>
      <c r="E503" s="510"/>
      <c r="F503" s="505"/>
      <c r="G503" s="507"/>
      <c r="H503" s="515"/>
      <c r="I503" s="510"/>
      <c r="J503" s="505"/>
      <c r="K503" s="510"/>
      <c r="L503" s="503"/>
    </row>
    <row r="504">
      <c r="A504" s="499"/>
      <c r="B504" s="510"/>
      <c r="C504" s="510"/>
      <c r="D504" s="510"/>
      <c r="E504" s="510"/>
      <c r="F504" s="505"/>
      <c r="G504" s="507"/>
      <c r="H504" s="515"/>
      <c r="I504" s="510"/>
      <c r="J504" s="505"/>
      <c r="K504" s="510"/>
      <c r="L504" s="503"/>
    </row>
    <row r="505">
      <c r="A505" s="499"/>
      <c r="B505" s="510"/>
      <c r="C505" s="510"/>
      <c r="D505" s="510"/>
      <c r="E505" s="510"/>
      <c r="F505" s="505"/>
      <c r="G505" s="507"/>
      <c r="H505" s="515"/>
      <c r="I505" s="510"/>
      <c r="J505" s="505"/>
      <c r="K505" s="510"/>
      <c r="L505" s="503"/>
    </row>
    <row r="506">
      <c r="A506" s="499"/>
      <c r="B506" s="510"/>
      <c r="C506" s="510"/>
      <c r="D506" s="510"/>
      <c r="E506" s="510"/>
      <c r="F506" s="505"/>
      <c r="G506" s="507"/>
      <c r="H506" s="515"/>
      <c r="I506" s="510"/>
      <c r="J506" s="505"/>
      <c r="K506" s="510"/>
      <c r="L506" s="503"/>
    </row>
    <row r="507">
      <c r="A507" s="499"/>
      <c r="B507" s="510"/>
      <c r="C507" s="510"/>
      <c r="D507" s="510"/>
      <c r="E507" s="510"/>
      <c r="F507" s="505"/>
      <c r="G507" s="507"/>
      <c r="H507" s="515"/>
      <c r="I507" s="510"/>
      <c r="J507" s="505"/>
      <c r="K507" s="510"/>
      <c r="L507" s="503"/>
    </row>
    <row r="508">
      <c r="A508" s="499"/>
      <c r="B508" s="510"/>
      <c r="C508" s="510"/>
      <c r="D508" s="510"/>
      <c r="E508" s="510"/>
      <c r="F508" s="505"/>
      <c r="G508" s="507"/>
      <c r="H508" s="515"/>
      <c r="I508" s="510"/>
      <c r="J508" s="505"/>
      <c r="K508" s="510"/>
      <c r="L508" s="503"/>
    </row>
    <row r="509">
      <c r="A509" s="499"/>
      <c r="B509" s="510"/>
      <c r="C509" s="510"/>
      <c r="D509" s="510"/>
      <c r="E509" s="510"/>
      <c r="F509" s="505"/>
      <c r="G509" s="507"/>
      <c r="H509" s="515"/>
      <c r="I509" s="510"/>
      <c r="J509" s="505"/>
      <c r="K509" s="510"/>
      <c r="L509" s="503"/>
    </row>
    <row r="510">
      <c r="A510" s="499"/>
      <c r="B510" s="510"/>
      <c r="C510" s="510"/>
      <c r="D510" s="510"/>
      <c r="E510" s="510"/>
      <c r="F510" s="505"/>
      <c r="G510" s="507"/>
      <c r="H510" s="515"/>
      <c r="I510" s="510"/>
      <c r="J510" s="505"/>
      <c r="K510" s="510"/>
      <c r="L510" s="503"/>
    </row>
    <row r="511">
      <c r="A511" s="499"/>
      <c r="B511" s="510"/>
      <c r="C511" s="510"/>
      <c r="D511" s="510"/>
      <c r="E511" s="510"/>
      <c r="F511" s="505"/>
      <c r="G511" s="507"/>
      <c r="H511" s="515"/>
      <c r="I511" s="510"/>
      <c r="J511" s="505"/>
      <c r="K511" s="510"/>
      <c r="L511" s="503"/>
    </row>
    <row r="512">
      <c r="A512" s="499"/>
      <c r="B512" s="510"/>
      <c r="C512" s="510"/>
      <c r="D512" s="510"/>
      <c r="E512" s="510"/>
      <c r="F512" s="505"/>
      <c r="G512" s="507"/>
      <c r="H512" s="515"/>
      <c r="I512" s="510"/>
      <c r="J512" s="505"/>
      <c r="K512" s="510"/>
      <c r="L512" s="503"/>
    </row>
    <row r="513">
      <c r="A513" s="499"/>
      <c r="B513" s="510"/>
      <c r="C513" s="510"/>
      <c r="D513" s="510"/>
      <c r="E513" s="510"/>
      <c r="F513" s="505"/>
      <c r="G513" s="507"/>
      <c r="H513" s="515"/>
      <c r="I513" s="510"/>
      <c r="J513" s="505"/>
      <c r="K513" s="510"/>
      <c r="L513" s="503"/>
    </row>
    <row r="514">
      <c r="A514" s="499"/>
      <c r="B514" s="510"/>
      <c r="C514" s="510"/>
      <c r="D514" s="510"/>
      <c r="E514" s="510"/>
      <c r="F514" s="505"/>
      <c r="G514" s="507"/>
      <c r="H514" s="515"/>
      <c r="I514" s="510"/>
      <c r="J514" s="505"/>
      <c r="K514" s="510"/>
      <c r="L514" s="503"/>
    </row>
    <row r="515">
      <c r="A515" s="499"/>
      <c r="B515" s="510"/>
      <c r="C515" s="510"/>
      <c r="D515" s="510"/>
      <c r="E515" s="510"/>
      <c r="F515" s="505"/>
      <c r="G515" s="507"/>
      <c r="H515" s="515"/>
      <c r="I515" s="510"/>
      <c r="J515" s="505"/>
      <c r="K515" s="510"/>
      <c r="L515" s="503"/>
    </row>
    <row r="516">
      <c r="A516" s="499"/>
      <c r="B516" s="510"/>
      <c r="C516" s="510"/>
      <c r="D516" s="510"/>
      <c r="E516" s="510"/>
      <c r="F516" s="505"/>
      <c r="G516" s="507"/>
      <c r="H516" s="515"/>
      <c r="I516" s="510"/>
      <c r="J516" s="505"/>
      <c r="K516" s="510"/>
      <c r="L516" s="503"/>
    </row>
    <row r="517">
      <c r="A517" s="499"/>
      <c r="B517" s="510"/>
      <c r="C517" s="510"/>
      <c r="D517" s="510"/>
      <c r="E517" s="510"/>
      <c r="F517" s="505"/>
      <c r="G517" s="507"/>
      <c r="H517" s="515"/>
      <c r="I517" s="510"/>
      <c r="J517" s="505"/>
      <c r="K517" s="510"/>
      <c r="L517" s="503"/>
    </row>
    <row r="518">
      <c r="A518" s="499"/>
      <c r="B518" s="510"/>
      <c r="C518" s="510"/>
      <c r="D518" s="510"/>
      <c r="E518" s="510"/>
      <c r="F518" s="505"/>
      <c r="G518" s="507"/>
      <c r="H518" s="515"/>
      <c r="I518" s="510"/>
      <c r="J518" s="505"/>
      <c r="K518" s="510"/>
      <c r="L518" s="503"/>
    </row>
    <row r="519">
      <c r="A519" s="499"/>
      <c r="B519" s="510"/>
      <c r="C519" s="510"/>
      <c r="D519" s="510"/>
      <c r="E519" s="510"/>
      <c r="F519" s="505"/>
      <c r="G519" s="507"/>
      <c r="H519" s="515"/>
      <c r="I519" s="510"/>
      <c r="J519" s="505"/>
      <c r="K519" s="510"/>
      <c r="L519" s="503"/>
    </row>
    <row r="520">
      <c r="A520" s="499"/>
      <c r="B520" s="510"/>
      <c r="C520" s="510"/>
      <c r="D520" s="510"/>
      <c r="E520" s="510"/>
      <c r="F520" s="505"/>
      <c r="G520" s="507"/>
      <c r="H520" s="515"/>
      <c r="I520" s="510"/>
      <c r="J520" s="505"/>
      <c r="K520" s="510"/>
      <c r="L520" s="503"/>
    </row>
    <row r="521">
      <c r="A521" s="499"/>
      <c r="B521" s="510"/>
      <c r="C521" s="510"/>
      <c r="D521" s="510"/>
      <c r="E521" s="510"/>
      <c r="F521" s="505"/>
      <c r="G521" s="507"/>
      <c r="H521" s="515"/>
      <c r="I521" s="510"/>
      <c r="J521" s="505"/>
      <c r="K521" s="510"/>
      <c r="L521" s="503"/>
    </row>
    <row r="522">
      <c r="A522" s="499"/>
      <c r="B522" s="510"/>
      <c r="C522" s="510"/>
      <c r="D522" s="510"/>
      <c r="E522" s="510"/>
      <c r="F522" s="505"/>
      <c r="G522" s="507"/>
      <c r="H522" s="515"/>
      <c r="I522" s="510"/>
      <c r="J522" s="505"/>
      <c r="K522" s="510"/>
      <c r="L522" s="503"/>
    </row>
    <row r="523">
      <c r="A523" s="499"/>
      <c r="B523" s="510"/>
      <c r="C523" s="510"/>
      <c r="D523" s="510"/>
      <c r="E523" s="510"/>
      <c r="F523" s="505"/>
      <c r="G523" s="507"/>
      <c r="H523" s="515"/>
      <c r="I523" s="510"/>
      <c r="J523" s="505"/>
      <c r="K523" s="510"/>
      <c r="L523" s="503"/>
    </row>
    <row r="524">
      <c r="A524" s="499"/>
      <c r="B524" s="510"/>
      <c r="C524" s="510"/>
      <c r="D524" s="510"/>
      <c r="E524" s="510"/>
      <c r="F524" s="505"/>
      <c r="G524" s="507"/>
      <c r="H524" s="515"/>
      <c r="I524" s="510"/>
      <c r="J524" s="505"/>
      <c r="K524" s="510"/>
      <c r="L524" s="503"/>
    </row>
    <row r="525">
      <c r="A525" s="499"/>
      <c r="B525" s="510"/>
      <c r="C525" s="510"/>
      <c r="D525" s="510"/>
      <c r="E525" s="510"/>
      <c r="F525" s="505"/>
      <c r="G525" s="507"/>
      <c r="H525" s="515"/>
      <c r="I525" s="510"/>
      <c r="J525" s="505"/>
      <c r="K525" s="510"/>
      <c r="L525" s="503"/>
    </row>
    <row r="526">
      <c r="A526" s="499"/>
      <c r="B526" s="510"/>
      <c r="C526" s="510"/>
      <c r="D526" s="510"/>
      <c r="E526" s="510"/>
      <c r="F526" s="505"/>
      <c r="G526" s="507"/>
      <c r="H526" s="515"/>
      <c r="I526" s="510"/>
      <c r="J526" s="505"/>
      <c r="K526" s="510"/>
      <c r="L526" s="503"/>
    </row>
    <row r="527">
      <c r="A527" s="499"/>
      <c r="B527" s="510"/>
      <c r="C527" s="510"/>
      <c r="D527" s="510"/>
      <c r="E527" s="510"/>
      <c r="F527" s="505"/>
      <c r="G527" s="507"/>
      <c r="H527" s="515"/>
      <c r="I527" s="510"/>
      <c r="J527" s="505"/>
      <c r="K527" s="510"/>
      <c r="L527" s="503"/>
    </row>
    <row r="528">
      <c r="A528" s="499"/>
      <c r="B528" s="510"/>
      <c r="C528" s="510"/>
      <c r="D528" s="510"/>
      <c r="E528" s="510"/>
      <c r="F528" s="505"/>
      <c r="G528" s="507"/>
      <c r="H528" s="515"/>
      <c r="I528" s="510"/>
      <c r="J528" s="505"/>
      <c r="K528" s="510"/>
      <c r="L528" s="503"/>
    </row>
    <row r="529">
      <c r="A529" s="499"/>
      <c r="B529" s="510"/>
      <c r="C529" s="510"/>
      <c r="D529" s="510"/>
      <c r="E529" s="510"/>
      <c r="F529" s="505"/>
      <c r="G529" s="507"/>
      <c r="H529" s="515"/>
      <c r="I529" s="510"/>
      <c r="J529" s="505"/>
      <c r="K529" s="510"/>
      <c r="L529" s="503"/>
    </row>
    <row r="530">
      <c r="A530" s="499"/>
      <c r="B530" s="510"/>
      <c r="C530" s="510"/>
      <c r="D530" s="510"/>
      <c r="E530" s="510"/>
      <c r="F530" s="505"/>
      <c r="G530" s="507"/>
      <c r="H530" s="515"/>
      <c r="I530" s="510"/>
      <c r="J530" s="505"/>
      <c r="K530" s="510"/>
      <c r="L530" s="503"/>
    </row>
    <row r="531">
      <c r="A531" s="499"/>
      <c r="B531" s="510"/>
      <c r="C531" s="510"/>
      <c r="D531" s="510"/>
      <c r="E531" s="510"/>
      <c r="F531" s="505"/>
      <c r="G531" s="507"/>
      <c r="H531" s="515"/>
      <c r="I531" s="510"/>
      <c r="J531" s="505"/>
      <c r="K531" s="510"/>
      <c r="L531" s="503"/>
    </row>
    <row r="532">
      <c r="A532" s="499"/>
      <c r="B532" s="510"/>
      <c r="C532" s="510"/>
      <c r="D532" s="510"/>
      <c r="E532" s="510"/>
      <c r="F532" s="505"/>
      <c r="G532" s="507"/>
      <c r="H532" s="515"/>
      <c r="I532" s="510"/>
      <c r="J532" s="505"/>
      <c r="K532" s="510"/>
      <c r="L532" s="503"/>
    </row>
    <row r="533">
      <c r="A533" s="499"/>
      <c r="B533" s="510"/>
      <c r="C533" s="510"/>
      <c r="D533" s="510"/>
      <c r="E533" s="510"/>
      <c r="F533" s="505"/>
      <c r="G533" s="507"/>
      <c r="H533" s="515"/>
      <c r="I533" s="510"/>
      <c r="J533" s="505"/>
      <c r="K533" s="510"/>
      <c r="L533" s="503"/>
    </row>
    <row r="534">
      <c r="A534" s="499"/>
      <c r="B534" s="510"/>
      <c r="C534" s="510"/>
      <c r="D534" s="510"/>
      <c r="E534" s="510"/>
      <c r="F534" s="505"/>
      <c r="G534" s="507"/>
      <c r="H534" s="515"/>
      <c r="I534" s="510"/>
      <c r="J534" s="505"/>
      <c r="K534" s="510"/>
      <c r="L534" s="503"/>
    </row>
    <row r="535">
      <c r="A535" s="499"/>
      <c r="B535" s="510"/>
      <c r="C535" s="510"/>
      <c r="D535" s="510"/>
      <c r="E535" s="510"/>
      <c r="F535" s="505"/>
      <c r="G535" s="507"/>
      <c r="H535" s="515"/>
      <c r="I535" s="510"/>
      <c r="J535" s="505"/>
      <c r="K535" s="510"/>
      <c r="L535" s="503"/>
    </row>
    <row r="536">
      <c r="A536" s="499"/>
      <c r="B536" s="510"/>
      <c r="C536" s="510"/>
      <c r="D536" s="510"/>
      <c r="E536" s="510"/>
      <c r="F536" s="505"/>
      <c r="G536" s="507"/>
      <c r="H536" s="515"/>
      <c r="I536" s="510"/>
      <c r="J536" s="505"/>
      <c r="K536" s="510"/>
      <c r="L536" s="503"/>
    </row>
    <row r="537">
      <c r="A537" s="499"/>
      <c r="B537" s="510"/>
      <c r="C537" s="510"/>
      <c r="D537" s="510"/>
      <c r="E537" s="510"/>
      <c r="F537" s="505"/>
      <c r="G537" s="507"/>
      <c r="H537" s="515"/>
      <c r="I537" s="510"/>
      <c r="J537" s="505"/>
      <c r="K537" s="510"/>
      <c r="L537" s="503"/>
    </row>
    <row r="538">
      <c r="A538" s="499"/>
      <c r="B538" s="510"/>
      <c r="C538" s="510"/>
      <c r="D538" s="510"/>
      <c r="E538" s="510"/>
      <c r="F538" s="505"/>
      <c r="G538" s="507"/>
      <c r="H538" s="515"/>
      <c r="I538" s="510"/>
      <c r="J538" s="505"/>
      <c r="K538" s="510"/>
      <c r="L538" s="503"/>
    </row>
    <row r="539">
      <c r="A539" s="499"/>
      <c r="B539" s="510"/>
      <c r="C539" s="510"/>
      <c r="D539" s="510"/>
      <c r="E539" s="510"/>
      <c r="F539" s="505"/>
      <c r="G539" s="507"/>
      <c r="H539" s="515"/>
      <c r="I539" s="510"/>
      <c r="J539" s="505"/>
      <c r="K539" s="510"/>
      <c r="L539" s="503"/>
    </row>
    <row r="540">
      <c r="A540" s="499"/>
      <c r="B540" s="510"/>
      <c r="C540" s="510"/>
      <c r="D540" s="510"/>
      <c r="E540" s="510"/>
      <c r="F540" s="505"/>
      <c r="G540" s="507"/>
      <c r="H540" s="515"/>
      <c r="I540" s="510"/>
      <c r="J540" s="505"/>
      <c r="K540" s="510"/>
      <c r="L540" s="503"/>
    </row>
    <row r="541">
      <c r="A541" s="499"/>
      <c r="B541" s="510"/>
      <c r="C541" s="510"/>
      <c r="D541" s="510"/>
      <c r="E541" s="510"/>
      <c r="F541" s="505"/>
      <c r="G541" s="507"/>
      <c r="H541" s="515"/>
      <c r="I541" s="510"/>
      <c r="J541" s="505"/>
      <c r="K541" s="510"/>
      <c r="L541" s="503"/>
    </row>
    <row r="542">
      <c r="A542" s="499"/>
      <c r="B542" s="510"/>
      <c r="C542" s="510"/>
      <c r="D542" s="510"/>
      <c r="E542" s="510"/>
      <c r="F542" s="505"/>
      <c r="G542" s="507"/>
      <c r="H542" s="515"/>
      <c r="I542" s="510"/>
      <c r="J542" s="505"/>
      <c r="K542" s="510"/>
      <c r="L542" s="503"/>
    </row>
    <row r="543">
      <c r="A543" s="499"/>
      <c r="B543" s="510"/>
      <c r="C543" s="510"/>
      <c r="D543" s="510"/>
      <c r="E543" s="510"/>
      <c r="F543" s="505"/>
      <c r="G543" s="507"/>
      <c r="H543" s="515"/>
      <c r="I543" s="510"/>
      <c r="J543" s="505"/>
      <c r="K543" s="510"/>
      <c r="L543" s="503"/>
    </row>
    <row r="544">
      <c r="A544" s="499"/>
      <c r="B544" s="510"/>
      <c r="C544" s="510"/>
      <c r="D544" s="510"/>
      <c r="E544" s="510"/>
      <c r="F544" s="505"/>
      <c r="G544" s="507"/>
      <c r="H544" s="515"/>
      <c r="I544" s="510"/>
      <c r="J544" s="505"/>
      <c r="K544" s="510"/>
      <c r="L544" s="503"/>
    </row>
    <row r="545">
      <c r="A545" s="499"/>
      <c r="B545" s="510"/>
      <c r="C545" s="510"/>
      <c r="D545" s="510"/>
      <c r="E545" s="510"/>
      <c r="F545" s="505"/>
      <c r="G545" s="507"/>
      <c r="H545" s="515"/>
      <c r="I545" s="510"/>
      <c r="J545" s="505"/>
      <c r="K545" s="510"/>
      <c r="L545" s="503"/>
    </row>
    <row r="546">
      <c r="A546" s="499"/>
      <c r="B546" s="510"/>
      <c r="C546" s="510"/>
      <c r="D546" s="510"/>
      <c r="E546" s="510"/>
      <c r="F546" s="505"/>
      <c r="G546" s="507"/>
      <c r="H546" s="515"/>
      <c r="I546" s="510"/>
      <c r="J546" s="505"/>
      <c r="K546" s="510"/>
      <c r="L546" s="503"/>
    </row>
    <row r="547">
      <c r="A547" s="499"/>
      <c r="B547" s="510"/>
      <c r="C547" s="510"/>
      <c r="D547" s="510"/>
      <c r="E547" s="510"/>
      <c r="F547" s="505"/>
      <c r="G547" s="507"/>
      <c r="H547" s="515"/>
      <c r="I547" s="510"/>
      <c r="J547" s="505"/>
      <c r="K547" s="510"/>
      <c r="L547" s="503"/>
    </row>
    <row r="548">
      <c r="A548" s="499"/>
      <c r="B548" s="510"/>
      <c r="C548" s="510"/>
      <c r="D548" s="510"/>
      <c r="E548" s="510"/>
      <c r="F548" s="505"/>
      <c r="G548" s="507"/>
      <c r="H548" s="515"/>
      <c r="I548" s="510"/>
      <c r="J548" s="505"/>
      <c r="K548" s="510"/>
      <c r="L548" s="503"/>
    </row>
    <row r="549">
      <c r="A549" s="499"/>
      <c r="B549" s="510"/>
      <c r="C549" s="510"/>
      <c r="D549" s="510"/>
      <c r="E549" s="510"/>
      <c r="F549" s="505"/>
      <c r="G549" s="507"/>
      <c r="H549" s="515"/>
      <c r="I549" s="510"/>
      <c r="J549" s="505"/>
      <c r="K549" s="510"/>
      <c r="L549" s="503"/>
    </row>
    <row r="550">
      <c r="A550" s="499"/>
      <c r="B550" s="510"/>
      <c r="C550" s="510"/>
      <c r="D550" s="510"/>
      <c r="E550" s="510"/>
      <c r="F550" s="505"/>
      <c r="G550" s="507"/>
      <c r="H550" s="515"/>
      <c r="I550" s="510"/>
      <c r="J550" s="505"/>
      <c r="K550" s="510"/>
      <c r="L550" s="503"/>
    </row>
    <row r="551">
      <c r="A551" s="499"/>
      <c r="B551" s="510"/>
      <c r="C551" s="510"/>
      <c r="D551" s="510"/>
      <c r="E551" s="510"/>
      <c r="F551" s="505"/>
      <c r="G551" s="507"/>
      <c r="H551" s="515"/>
      <c r="I551" s="510"/>
      <c r="J551" s="505"/>
      <c r="K551" s="510"/>
      <c r="L551" s="503"/>
    </row>
    <row r="552">
      <c r="A552" s="499"/>
      <c r="B552" s="510"/>
      <c r="C552" s="510"/>
      <c r="D552" s="510"/>
      <c r="E552" s="510"/>
      <c r="F552" s="505"/>
      <c r="G552" s="507"/>
      <c r="H552" s="515"/>
      <c r="I552" s="510"/>
      <c r="J552" s="505"/>
      <c r="K552" s="510"/>
      <c r="L552" s="503"/>
    </row>
    <row r="553">
      <c r="A553" s="499"/>
      <c r="B553" s="510"/>
      <c r="C553" s="510"/>
      <c r="D553" s="510"/>
      <c r="E553" s="510"/>
      <c r="F553" s="505"/>
      <c r="G553" s="507"/>
      <c r="H553" s="515"/>
      <c r="I553" s="510"/>
      <c r="J553" s="505"/>
      <c r="K553" s="510"/>
      <c r="L553" s="503"/>
    </row>
    <row r="554">
      <c r="A554" s="499"/>
      <c r="B554" s="510"/>
      <c r="C554" s="510"/>
      <c r="D554" s="510"/>
      <c r="E554" s="510"/>
      <c r="F554" s="505"/>
      <c r="G554" s="507"/>
      <c r="H554" s="515"/>
      <c r="I554" s="510"/>
      <c r="J554" s="505"/>
      <c r="K554" s="510"/>
      <c r="L554" s="503"/>
    </row>
    <row r="555">
      <c r="A555" s="499"/>
      <c r="B555" s="510"/>
      <c r="C555" s="510"/>
      <c r="D555" s="510"/>
      <c r="E555" s="510"/>
      <c r="F555" s="505"/>
      <c r="G555" s="507"/>
      <c r="H555" s="515"/>
      <c r="I555" s="510"/>
      <c r="J555" s="505"/>
      <c r="K555" s="510"/>
      <c r="L555" s="503"/>
    </row>
    <row r="556">
      <c r="A556" s="499"/>
      <c r="B556" s="510"/>
      <c r="C556" s="510"/>
      <c r="D556" s="510"/>
      <c r="E556" s="510"/>
      <c r="F556" s="505"/>
      <c r="G556" s="507"/>
      <c r="H556" s="515"/>
      <c r="I556" s="510"/>
      <c r="J556" s="505"/>
      <c r="K556" s="510"/>
      <c r="L556" s="503"/>
    </row>
    <row r="557">
      <c r="A557" s="499"/>
      <c r="B557" s="510"/>
      <c r="C557" s="510"/>
      <c r="D557" s="510"/>
      <c r="E557" s="510"/>
      <c r="F557" s="505"/>
      <c r="G557" s="507"/>
      <c r="H557" s="515"/>
      <c r="I557" s="510"/>
      <c r="J557" s="505"/>
      <c r="K557" s="510"/>
      <c r="L557" s="503"/>
    </row>
    <row r="558">
      <c r="A558" s="499"/>
      <c r="B558" s="510"/>
      <c r="C558" s="510"/>
      <c r="D558" s="510"/>
      <c r="E558" s="510"/>
      <c r="F558" s="505"/>
      <c r="G558" s="507"/>
      <c r="H558" s="515"/>
      <c r="I558" s="510"/>
      <c r="J558" s="505"/>
      <c r="K558" s="510"/>
      <c r="L558" s="503"/>
    </row>
    <row r="559">
      <c r="A559" s="499"/>
      <c r="B559" s="510"/>
      <c r="C559" s="510"/>
      <c r="D559" s="510"/>
      <c r="E559" s="510"/>
      <c r="F559" s="505"/>
      <c r="G559" s="507"/>
      <c r="H559" s="515"/>
      <c r="I559" s="510"/>
      <c r="J559" s="505"/>
      <c r="K559" s="510"/>
      <c r="L559" s="503"/>
    </row>
    <row r="560">
      <c r="A560" s="499"/>
      <c r="B560" s="510"/>
      <c r="C560" s="510"/>
      <c r="D560" s="510"/>
      <c r="E560" s="510"/>
      <c r="F560" s="505"/>
      <c r="G560" s="507"/>
      <c r="H560" s="515"/>
      <c r="I560" s="510"/>
      <c r="J560" s="505"/>
      <c r="K560" s="510"/>
      <c r="L560" s="503"/>
    </row>
    <row r="561">
      <c r="A561" s="499"/>
      <c r="B561" s="510"/>
      <c r="C561" s="510"/>
      <c r="D561" s="510"/>
      <c r="E561" s="510"/>
      <c r="F561" s="505"/>
      <c r="G561" s="507"/>
      <c r="H561" s="515"/>
      <c r="I561" s="510"/>
      <c r="J561" s="505"/>
      <c r="K561" s="510"/>
      <c r="L561" s="503"/>
    </row>
    <row r="562">
      <c r="A562" s="499"/>
      <c r="B562" s="510"/>
      <c r="C562" s="510"/>
      <c r="D562" s="510"/>
      <c r="E562" s="510"/>
      <c r="F562" s="505"/>
      <c r="G562" s="507"/>
      <c r="H562" s="515"/>
      <c r="I562" s="510"/>
      <c r="J562" s="505"/>
      <c r="K562" s="510"/>
      <c r="L562" s="503"/>
    </row>
    <row r="563">
      <c r="A563" s="499"/>
      <c r="B563" s="510"/>
      <c r="C563" s="510"/>
      <c r="D563" s="510"/>
      <c r="E563" s="510"/>
      <c r="F563" s="505"/>
      <c r="G563" s="507"/>
      <c r="H563" s="515"/>
      <c r="I563" s="510"/>
      <c r="J563" s="505"/>
      <c r="K563" s="510"/>
      <c r="L563" s="503"/>
    </row>
    <row r="564">
      <c r="A564" s="499"/>
      <c r="B564" s="510"/>
      <c r="C564" s="510"/>
      <c r="D564" s="510"/>
      <c r="E564" s="510"/>
      <c r="F564" s="505"/>
      <c r="G564" s="507"/>
      <c r="H564" s="515"/>
      <c r="I564" s="510"/>
      <c r="J564" s="505"/>
      <c r="K564" s="510"/>
      <c r="L564" s="503"/>
    </row>
    <row r="565">
      <c r="A565" s="499"/>
      <c r="B565" s="510"/>
      <c r="C565" s="510"/>
      <c r="D565" s="510"/>
      <c r="E565" s="510"/>
      <c r="F565" s="505"/>
      <c r="G565" s="507"/>
      <c r="H565" s="515"/>
      <c r="I565" s="510"/>
      <c r="J565" s="505"/>
      <c r="K565" s="510"/>
      <c r="L565" s="503"/>
    </row>
    <row r="566">
      <c r="A566" s="499"/>
      <c r="B566" s="510"/>
      <c r="C566" s="510"/>
      <c r="D566" s="510"/>
      <c r="E566" s="510"/>
      <c r="F566" s="505"/>
      <c r="G566" s="507"/>
      <c r="H566" s="515"/>
      <c r="I566" s="510"/>
      <c r="J566" s="505"/>
      <c r="K566" s="510"/>
      <c r="L566" s="503"/>
    </row>
    <row r="567">
      <c r="A567" s="499"/>
      <c r="B567" s="510"/>
      <c r="C567" s="510"/>
      <c r="D567" s="510"/>
      <c r="E567" s="510"/>
      <c r="F567" s="505"/>
      <c r="G567" s="507"/>
      <c r="H567" s="515"/>
      <c r="I567" s="510"/>
      <c r="J567" s="505"/>
      <c r="K567" s="510"/>
      <c r="L567" s="503"/>
    </row>
    <row r="568">
      <c r="A568" s="499"/>
      <c r="B568" s="510"/>
      <c r="C568" s="510"/>
      <c r="D568" s="510"/>
      <c r="E568" s="510"/>
      <c r="F568" s="505"/>
      <c r="G568" s="507"/>
      <c r="H568" s="515"/>
      <c r="I568" s="510"/>
      <c r="J568" s="505"/>
      <c r="K568" s="510"/>
      <c r="L568" s="503"/>
    </row>
    <row r="569">
      <c r="A569" s="499"/>
      <c r="B569" s="510"/>
      <c r="C569" s="510"/>
      <c r="D569" s="510"/>
      <c r="E569" s="510"/>
      <c r="F569" s="505"/>
      <c r="G569" s="507"/>
      <c r="H569" s="515"/>
      <c r="I569" s="510"/>
      <c r="J569" s="505"/>
      <c r="K569" s="510"/>
      <c r="L569" s="503"/>
    </row>
    <row r="570">
      <c r="A570" s="499"/>
      <c r="B570" s="510"/>
      <c r="C570" s="510"/>
      <c r="D570" s="510"/>
      <c r="E570" s="510"/>
      <c r="F570" s="505"/>
      <c r="G570" s="507"/>
      <c r="H570" s="515"/>
      <c r="I570" s="510"/>
      <c r="J570" s="505"/>
      <c r="K570" s="510"/>
      <c r="L570" s="503"/>
    </row>
    <row r="571">
      <c r="A571" s="499"/>
      <c r="B571" s="510"/>
      <c r="C571" s="510"/>
      <c r="D571" s="510"/>
      <c r="E571" s="510"/>
      <c r="F571" s="505"/>
      <c r="G571" s="507"/>
      <c r="H571" s="515"/>
      <c r="I571" s="510"/>
      <c r="J571" s="505"/>
      <c r="K571" s="510"/>
      <c r="L571" s="503"/>
    </row>
    <row r="572">
      <c r="A572" s="499"/>
      <c r="B572" s="510"/>
      <c r="C572" s="510"/>
      <c r="D572" s="510"/>
      <c r="E572" s="510"/>
      <c r="F572" s="505"/>
      <c r="G572" s="507"/>
      <c r="H572" s="515"/>
      <c r="I572" s="510"/>
      <c r="J572" s="505"/>
      <c r="K572" s="510"/>
      <c r="L572" s="503"/>
    </row>
    <row r="573">
      <c r="A573" s="499"/>
      <c r="B573" s="510"/>
      <c r="C573" s="510"/>
      <c r="D573" s="510"/>
      <c r="E573" s="510"/>
      <c r="F573" s="505"/>
      <c r="G573" s="507"/>
      <c r="H573" s="515"/>
      <c r="I573" s="510"/>
      <c r="J573" s="505"/>
      <c r="K573" s="510"/>
      <c r="L573" s="503"/>
    </row>
    <row r="574">
      <c r="A574" s="499"/>
      <c r="B574" s="510"/>
      <c r="C574" s="510"/>
      <c r="D574" s="510"/>
      <c r="E574" s="510"/>
      <c r="F574" s="505"/>
      <c r="G574" s="507"/>
      <c r="H574" s="515"/>
      <c r="I574" s="510"/>
      <c r="J574" s="505"/>
      <c r="K574" s="510"/>
      <c r="L574" s="503"/>
    </row>
    <row r="575">
      <c r="A575" s="499"/>
      <c r="B575" s="510"/>
      <c r="C575" s="510"/>
      <c r="D575" s="510"/>
      <c r="E575" s="510"/>
      <c r="F575" s="505"/>
      <c r="G575" s="507"/>
      <c r="H575" s="515"/>
      <c r="I575" s="510"/>
      <c r="J575" s="505"/>
      <c r="K575" s="510"/>
      <c r="L575" s="503"/>
    </row>
    <row r="576">
      <c r="A576" s="499"/>
      <c r="B576" s="510"/>
      <c r="C576" s="510"/>
      <c r="D576" s="510"/>
      <c r="E576" s="510"/>
      <c r="F576" s="505"/>
      <c r="G576" s="507"/>
      <c r="H576" s="515"/>
      <c r="I576" s="510"/>
      <c r="J576" s="505"/>
      <c r="K576" s="510"/>
      <c r="L576" s="503"/>
    </row>
    <row r="577">
      <c r="A577" s="499"/>
      <c r="B577" s="510"/>
      <c r="C577" s="510"/>
      <c r="D577" s="510"/>
      <c r="E577" s="510"/>
      <c r="F577" s="505"/>
      <c r="G577" s="507"/>
      <c r="H577" s="515"/>
      <c r="I577" s="510"/>
      <c r="J577" s="505"/>
      <c r="K577" s="510"/>
      <c r="L577" s="503"/>
    </row>
    <row r="578">
      <c r="A578" s="499"/>
      <c r="B578" s="510"/>
      <c r="C578" s="510"/>
      <c r="D578" s="510"/>
      <c r="E578" s="510"/>
      <c r="F578" s="505"/>
      <c r="G578" s="507"/>
      <c r="H578" s="515"/>
      <c r="I578" s="510"/>
      <c r="J578" s="505"/>
      <c r="K578" s="510"/>
      <c r="L578" s="503"/>
    </row>
    <row r="579">
      <c r="A579" s="499"/>
      <c r="B579" s="510"/>
      <c r="C579" s="510"/>
      <c r="D579" s="510"/>
      <c r="E579" s="510"/>
      <c r="F579" s="505"/>
      <c r="G579" s="507"/>
      <c r="H579" s="515"/>
      <c r="I579" s="510"/>
      <c r="J579" s="505"/>
      <c r="K579" s="510"/>
      <c r="L579" s="503"/>
    </row>
    <row r="580">
      <c r="A580" s="499"/>
      <c r="B580" s="510"/>
      <c r="C580" s="510"/>
      <c r="D580" s="510"/>
      <c r="E580" s="510"/>
      <c r="F580" s="505"/>
      <c r="G580" s="507"/>
      <c r="H580" s="515"/>
      <c r="I580" s="510"/>
      <c r="J580" s="505"/>
      <c r="K580" s="510"/>
      <c r="L580" s="503"/>
    </row>
    <row r="581">
      <c r="A581" s="499"/>
      <c r="B581" s="510"/>
      <c r="C581" s="510"/>
      <c r="D581" s="510"/>
      <c r="E581" s="510"/>
      <c r="F581" s="505"/>
      <c r="G581" s="507"/>
      <c r="H581" s="515"/>
      <c r="I581" s="510"/>
      <c r="J581" s="505"/>
      <c r="K581" s="510"/>
      <c r="L581" s="503"/>
    </row>
    <row r="582">
      <c r="A582" s="499"/>
      <c r="B582" s="510"/>
      <c r="C582" s="510"/>
      <c r="D582" s="510"/>
      <c r="E582" s="510"/>
      <c r="F582" s="505"/>
      <c r="G582" s="507"/>
      <c r="H582" s="515"/>
      <c r="I582" s="510"/>
      <c r="J582" s="505"/>
      <c r="K582" s="510"/>
      <c r="L582" s="503"/>
    </row>
    <row r="583">
      <c r="A583" s="499"/>
      <c r="B583" s="510"/>
      <c r="C583" s="510"/>
      <c r="D583" s="510"/>
      <c r="E583" s="510"/>
      <c r="F583" s="505"/>
      <c r="G583" s="507"/>
      <c r="H583" s="515"/>
      <c r="I583" s="510"/>
      <c r="J583" s="505"/>
      <c r="K583" s="510"/>
      <c r="L583" s="503"/>
    </row>
    <row r="584">
      <c r="A584" s="499"/>
      <c r="B584" s="510"/>
      <c r="C584" s="510"/>
      <c r="D584" s="510"/>
      <c r="E584" s="510"/>
      <c r="F584" s="505"/>
      <c r="G584" s="507"/>
      <c r="H584" s="515"/>
      <c r="I584" s="510"/>
      <c r="J584" s="505"/>
      <c r="K584" s="510"/>
      <c r="L584" s="503"/>
    </row>
    <row r="585">
      <c r="A585" s="499"/>
      <c r="B585" s="510"/>
      <c r="C585" s="510"/>
      <c r="D585" s="510"/>
      <c r="E585" s="510"/>
      <c r="F585" s="505"/>
      <c r="G585" s="507"/>
      <c r="H585" s="515"/>
      <c r="I585" s="510"/>
      <c r="J585" s="505"/>
      <c r="K585" s="510"/>
      <c r="L585" s="503"/>
    </row>
    <row r="586">
      <c r="A586" s="499"/>
      <c r="B586" s="510"/>
      <c r="C586" s="510"/>
      <c r="D586" s="510"/>
      <c r="E586" s="510"/>
      <c r="F586" s="505"/>
      <c r="G586" s="507"/>
      <c r="H586" s="515"/>
      <c r="I586" s="510"/>
      <c r="J586" s="505"/>
      <c r="K586" s="510"/>
      <c r="L586" s="503"/>
    </row>
    <row r="587">
      <c r="A587" s="499"/>
      <c r="B587" s="510"/>
      <c r="C587" s="510"/>
      <c r="D587" s="510"/>
      <c r="E587" s="510"/>
      <c r="F587" s="505"/>
      <c r="G587" s="507"/>
      <c r="H587" s="515"/>
      <c r="I587" s="510"/>
      <c r="J587" s="505"/>
      <c r="K587" s="510"/>
      <c r="L587" s="503"/>
    </row>
    <row r="588">
      <c r="A588" s="499"/>
      <c r="B588" s="510"/>
      <c r="C588" s="510"/>
      <c r="D588" s="510"/>
      <c r="E588" s="510"/>
      <c r="F588" s="505"/>
      <c r="G588" s="507"/>
      <c r="H588" s="515"/>
      <c r="I588" s="510"/>
      <c r="J588" s="505"/>
      <c r="K588" s="510"/>
      <c r="L588" s="503"/>
    </row>
    <row r="589">
      <c r="A589" s="499"/>
      <c r="B589" s="510"/>
      <c r="C589" s="510"/>
      <c r="D589" s="510"/>
      <c r="E589" s="510"/>
      <c r="F589" s="505"/>
      <c r="G589" s="507"/>
      <c r="H589" s="515"/>
      <c r="I589" s="510"/>
      <c r="J589" s="505"/>
      <c r="K589" s="510"/>
      <c r="L589" s="503"/>
    </row>
    <row r="590">
      <c r="A590" s="499"/>
      <c r="B590" s="510"/>
      <c r="C590" s="510"/>
      <c r="D590" s="510"/>
      <c r="E590" s="510"/>
      <c r="F590" s="505"/>
      <c r="G590" s="507"/>
      <c r="H590" s="515"/>
      <c r="I590" s="510"/>
      <c r="J590" s="505"/>
      <c r="K590" s="510"/>
      <c r="L590" s="503"/>
    </row>
    <row r="591">
      <c r="A591" s="499"/>
      <c r="B591" s="510"/>
      <c r="C591" s="510"/>
      <c r="D591" s="510"/>
      <c r="E591" s="510"/>
      <c r="F591" s="505"/>
      <c r="G591" s="507"/>
      <c r="H591" s="515"/>
      <c r="I591" s="510"/>
      <c r="J591" s="505"/>
      <c r="K591" s="510"/>
      <c r="L591" s="503"/>
    </row>
    <row r="592">
      <c r="A592" s="499"/>
      <c r="B592" s="510"/>
      <c r="C592" s="510"/>
      <c r="D592" s="510"/>
      <c r="E592" s="510"/>
      <c r="F592" s="505"/>
      <c r="G592" s="507"/>
      <c r="H592" s="515"/>
      <c r="I592" s="510"/>
      <c r="J592" s="505"/>
      <c r="K592" s="510"/>
      <c r="L592" s="503"/>
    </row>
    <row r="593">
      <c r="A593" s="499"/>
      <c r="B593" s="510"/>
      <c r="C593" s="510"/>
      <c r="D593" s="510"/>
      <c r="E593" s="510"/>
      <c r="F593" s="505"/>
      <c r="G593" s="507"/>
      <c r="H593" s="515"/>
      <c r="I593" s="510"/>
      <c r="J593" s="505"/>
      <c r="K593" s="510"/>
      <c r="L593" s="503"/>
    </row>
    <row r="594">
      <c r="A594" s="499"/>
      <c r="B594" s="510"/>
      <c r="C594" s="510"/>
      <c r="D594" s="510"/>
      <c r="E594" s="510"/>
      <c r="F594" s="505"/>
      <c r="G594" s="507"/>
      <c r="H594" s="515"/>
      <c r="I594" s="510"/>
      <c r="J594" s="505"/>
      <c r="K594" s="510"/>
      <c r="L594" s="503"/>
    </row>
    <row r="595">
      <c r="A595" s="499"/>
      <c r="B595" s="510"/>
      <c r="C595" s="510"/>
      <c r="D595" s="510"/>
      <c r="E595" s="510"/>
      <c r="F595" s="505"/>
      <c r="G595" s="507"/>
      <c r="H595" s="515"/>
      <c r="I595" s="510"/>
      <c r="J595" s="505"/>
      <c r="K595" s="510"/>
      <c r="L595" s="503"/>
    </row>
    <row r="596">
      <c r="A596" s="499"/>
      <c r="B596" s="510"/>
      <c r="C596" s="510"/>
      <c r="D596" s="510"/>
      <c r="E596" s="510"/>
      <c r="F596" s="505"/>
      <c r="G596" s="507"/>
      <c r="H596" s="510"/>
      <c r="I596" s="510"/>
      <c r="J596" s="505"/>
      <c r="K596" s="510"/>
      <c r="L596" s="503"/>
    </row>
    <row r="597">
      <c r="A597" s="499"/>
      <c r="B597" s="510"/>
      <c r="C597" s="510"/>
      <c r="D597" s="510"/>
      <c r="E597" s="510"/>
      <c r="F597" s="505"/>
      <c r="G597" s="507"/>
      <c r="H597" s="510"/>
      <c r="I597" s="510"/>
      <c r="J597" s="505"/>
      <c r="K597" s="510"/>
      <c r="L597" s="503"/>
    </row>
    <row r="598">
      <c r="A598" s="516"/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487"/>
    </row>
  </sheetData>
  <mergeCells count="2">
    <mergeCell ref="B1:K1"/>
    <mergeCell ref="A3:H4"/>
  </mergeCells>
  <conditionalFormatting sqref="G7:G597">
    <cfRule type="cellIs" dxfId="0" priority="1" operator="equal">
      <formula>"WorkCap"</formula>
    </cfRule>
  </conditionalFormatting>
  <conditionalFormatting sqref="G7:G597">
    <cfRule type="cellIs" dxfId="1" priority="2" operator="equal">
      <formula>"Profit"</formula>
    </cfRule>
  </conditionalFormatting>
  <conditionalFormatting sqref="G7:G597">
    <cfRule type="cellIs" dxfId="2" priority="3" operator="equal">
      <formula>"Partnership"</formula>
    </cfRule>
  </conditionalFormatting>
  <conditionalFormatting sqref="G7:G597">
    <cfRule type="cellIs" dxfId="3" priority="4" operator="equal">
      <formula>"Insurance"</formula>
    </cfRule>
  </conditionalFormatting>
  <conditionalFormatting sqref="G7:G597">
    <cfRule type="cellIs" dxfId="4" priority="5" operator="equal">
      <formula>"Others"</formula>
    </cfRule>
  </conditionalFormatting>
  <conditionalFormatting sqref="G7:G597">
    <cfRule type="cellIs" dxfId="5" priority="6" operator="equal">
      <formula>"PP/EP Fee"</formula>
    </cfRule>
  </conditionalFormatting>
  <conditionalFormatting sqref="G7:G597">
    <cfRule type="cellIs" dxfId="6" priority="7" operator="equal">
      <formula>"Delegates Fee"</formula>
    </cfRule>
  </conditionalFormatting>
  <conditionalFormatting sqref="F7:F598">
    <cfRule type="cellIs" dxfId="7" priority="8" operator="equal">
      <formula>"External"</formula>
    </cfRule>
  </conditionalFormatting>
  <conditionalFormatting sqref="F7:F598">
    <cfRule type="cellIs" dxfId="8" priority="9" operator="equal">
      <formula>"Internal"</formula>
    </cfRule>
  </conditionalFormatting>
  <dataValidations>
    <dataValidation type="list" allowBlank="1" showErrorMessage="1" sqref="J7:J597">
      <formula1>"Paid,Unpaid"</formula1>
    </dataValidation>
    <dataValidation type="list" allowBlank="1" sqref="G7:G597">
      <formula1>"Partnership,Insurance,Others,Profit"</formula1>
    </dataValidation>
    <dataValidation type="list" allowBlank="1" showErrorMessage="1" sqref="F7:F597">
      <formula1>"Internal,External"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2" width="25.0"/>
    <col customWidth="1" min="3" max="3" width="21.86"/>
    <col customWidth="1" min="4" max="4" width="10.29"/>
    <col customWidth="1" min="5" max="5" width="22.86"/>
    <col customWidth="1" min="6" max="6" width="23.43"/>
    <col customWidth="1" min="7" max="7" width="27.71"/>
    <col customWidth="1" min="8" max="8" width="25.14"/>
    <col customWidth="1" min="9" max="9" width="12.43"/>
  </cols>
  <sheetData>
    <row r="1" ht="43.5" customHeight="1">
      <c r="A1" s="397"/>
      <c r="B1" s="518" t="s">
        <v>230</v>
      </c>
      <c r="C1" s="3"/>
      <c r="D1" s="3"/>
      <c r="E1" s="3"/>
      <c r="F1" s="3"/>
      <c r="G1" s="3"/>
      <c r="H1" s="181"/>
      <c r="I1" s="397"/>
    </row>
    <row r="2">
      <c r="A2" s="397"/>
      <c r="B2" s="432" t="s">
        <v>207</v>
      </c>
      <c r="C2" s="433" t="s">
        <v>5</v>
      </c>
      <c r="D2" s="432" t="s">
        <v>6</v>
      </c>
      <c r="E2" s="432" t="s">
        <v>208</v>
      </c>
      <c r="F2" s="432" t="s">
        <v>209</v>
      </c>
      <c r="G2" s="432" t="s">
        <v>210</v>
      </c>
      <c r="H2" s="432" t="s">
        <v>211</v>
      </c>
      <c r="I2" s="401"/>
    </row>
    <row r="3">
      <c r="A3" s="397"/>
      <c r="B3" s="442"/>
      <c r="C3" s="519"/>
      <c r="D3" s="442"/>
      <c r="E3" s="406">
        <f t="shared" ref="E3:E8" si="1">C3*D3</f>
        <v>0</v>
      </c>
      <c r="F3" s="407"/>
      <c r="G3" s="406">
        <f t="shared" ref="G3:G8" si="2">F3*D3</f>
        <v>0</v>
      </c>
      <c r="H3" s="406">
        <f t="shared" ref="H3:H8" si="3">E3-G3</f>
        <v>0</v>
      </c>
      <c r="I3" s="408"/>
    </row>
    <row r="4">
      <c r="A4" s="397"/>
      <c r="B4" s="442"/>
      <c r="C4" s="519"/>
      <c r="D4" s="442"/>
      <c r="E4" s="406">
        <f t="shared" si="1"/>
        <v>0</v>
      </c>
      <c r="F4" s="407"/>
      <c r="G4" s="406">
        <f t="shared" si="2"/>
        <v>0</v>
      </c>
      <c r="H4" s="406">
        <f t="shared" si="3"/>
        <v>0</v>
      </c>
      <c r="I4" s="408"/>
    </row>
    <row r="5">
      <c r="A5" s="397"/>
      <c r="B5" s="442"/>
      <c r="C5" s="519"/>
      <c r="D5" s="442"/>
      <c r="E5" s="406">
        <f t="shared" si="1"/>
        <v>0</v>
      </c>
      <c r="F5" s="407"/>
      <c r="G5" s="406">
        <f t="shared" si="2"/>
        <v>0</v>
      </c>
      <c r="H5" s="406">
        <f t="shared" si="3"/>
        <v>0</v>
      </c>
      <c r="I5" s="408"/>
    </row>
    <row r="6" ht="15.75" customHeight="1">
      <c r="A6" s="397"/>
      <c r="B6" s="442"/>
      <c r="C6" s="519"/>
      <c r="D6" s="442"/>
      <c r="E6" s="406">
        <f t="shared" si="1"/>
        <v>0</v>
      </c>
      <c r="F6" s="407"/>
      <c r="G6" s="406">
        <f t="shared" si="2"/>
        <v>0</v>
      </c>
      <c r="H6" s="406">
        <f t="shared" si="3"/>
        <v>0</v>
      </c>
      <c r="I6" s="408"/>
    </row>
    <row r="7" ht="15.75" customHeight="1">
      <c r="A7" s="397"/>
      <c r="B7" s="442"/>
      <c r="C7" s="519"/>
      <c r="D7" s="442"/>
      <c r="E7" s="406">
        <f t="shared" si="1"/>
        <v>0</v>
      </c>
      <c r="F7" s="407"/>
      <c r="G7" s="406">
        <f t="shared" si="2"/>
        <v>0</v>
      </c>
      <c r="H7" s="406">
        <f t="shared" si="3"/>
        <v>0</v>
      </c>
      <c r="I7" s="408"/>
    </row>
    <row r="8" ht="15.75" customHeight="1">
      <c r="A8" s="397"/>
      <c r="B8" s="442"/>
      <c r="C8" s="519"/>
      <c r="D8" s="442"/>
      <c r="E8" s="406">
        <f t="shared" si="1"/>
        <v>0</v>
      </c>
      <c r="F8" s="407"/>
      <c r="G8" s="406">
        <f t="shared" si="2"/>
        <v>0</v>
      </c>
      <c r="H8" s="406">
        <f t="shared" si="3"/>
        <v>0</v>
      </c>
      <c r="I8" s="408"/>
    </row>
    <row r="9">
      <c r="A9" s="397"/>
      <c r="B9" s="520"/>
      <c r="C9" s="3"/>
      <c r="D9" s="521">
        <f>SUM(D2:D8)</f>
        <v>0</v>
      </c>
      <c r="E9" s="522">
        <f>SUM(E3:E8)</f>
        <v>0</v>
      </c>
      <c r="F9" s="523"/>
      <c r="G9" s="524">
        <f t="shared" ref="G9:H9" si="4">SUM(G3:G8)</f>
        <v>0</v>
      </c>
      <c r="H9" s="524">
        <f t="shared" si="4"/>
        <v>0</v>
      </c>
      <c r="I9" s="419"/>
    </row>
    <row r="10">
      <c r="A10" s="397"/>
      <c r="B10" s="420"/>
      <c r="C10" s="421"/>
      <c r="D10" s="420"/>
      <c r="E10" s="420"/>
      <c r="F10" s="422"/>
      <c r="G10" s="423"/>
      <c r="H10" s="424"/>
      <c r="I10" s="408"/>
    </row>
    <row r="11">
      <c r="A11" s="397"/>
      <c r="B11" s="425"/>
      <c r="C11" s="421"/>
      <c r="D11" s="420"/>
      <c r="E11" s="420"/>
      <c r="F11" s="422"/>
      <c r="G11" s="426"/>
      <c r="H11" s="420"/>
      <c r="I11" s="397"/>
    </row>
    <row r="12">
      <c r="A12" s="397"/>
      <c r="B12" s="425"/>
      <c r="C12" s="421"/>
      <c r="D12" s="420"/>
      <c r="E12" s="426"/>
      <c r="F12" s="427"/>
      <c r="G12" s="428"/>
      <c r="H12" s="426"/>
      <c r="I12" s="397"/>
    </row>
    <row r="13">
      <c r="A13" s="397"/>
      <c r="B13" s="425"/>
      <c r="C13" s="421"/>
      <c r="D13" s="420"/>
      <c r="E13" s="426"/>
      <c r="F13" s="429"/>
      <c r="G13" s="428"/>
      <c r="H13" s="426"/>
      <c r="I13" s="408"/>
    </row>
    <row r="14">
      <c r="A14" s="397"/>
      <c r="B14" s="420"/>
      <c r="C14" s="421"/>
      <c r="D14" s="420"/>
      <c r="E14" s="420"/>
      <c r="F14" s="422"/>
      <c r="G14" s="428"/>
      <c r="H14" s="420"/>
      <c r="I14" s="408"/>
    </row>
  </sheetData>
  <mergeCells count="3">
    <mergeCell ref="B1:H1"/>
    <mergeCell ref="B9:C9"/>
    <mergeCell ref="F12:F1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3.57"/>
    <col customWidth="1" min="8" max="8" width="29.0"/>
    <col customWidth="1" min="14" max="14" width="26.14"/>
  </cols>
  <sheetData>
    <row r="1" ht="22.5" customHeight="1">
      <c r="A1" s="525" t="s">
        <v>253</v>
      </c>
      <c r="B1" s="525" t="s">
        <v>254</v>
      </c>
      <c r="C1" s="525" t="s">
        <v>255</v>
      </c>
      <c r="D1" s="525" t="s">
        <v>256</v>
      </c>
      <c r="E1" s="525" t="s">
        <v>257</v>
      </c>
      <c r="F1" s="525" t="s">
        <v>258</v>
      </c>
      <c r="G1" s="525" t="s">
        <v>259</v>
      </c>
      <c r="H1" s="525" t="s">
        <v>260</v>
      </c>
      <c r="I1" s="525" t="s">
        <v>261</v>
      </c>
      <c r="J1" s="525" t="s">
        <v>262</v>
      </c>
      <c r="K1" s="525" t="s">
        <v>263</v>
      </c>
      <c r="L1" s="525" t="s">
        <v>264</v>
      </c>
      <c r="M1" s="525" t="s">
        <v>265</v>
      </c>
      <c r="N1" s="525" t="s">
        <v>251</v>
      </c>
      <c r="O1" s="525" t="s">
        <v>266</v>
      </c>
    </row>
    <row r="2" ht="22.5" customHeight="1">
      <c r="A2" s="526" t="s">
        <v>267</v>
      </c>
      <c r="B2" s="527" t="s">
        <v>212</v>
      </c>
      <c r="C2" s="528"/>
      <c r="D2" s="529">
        <v>20.0</v>
      </c>
      <c r="E2" s="530"/>
      <c r="F2" s="529">
        <v>6.0</v>
      </c>
      <c r="G2" s="531">
        <v>5.0</v>
      </c>
      <c r="H2" s="532">
        <f t="shared" ref="H2:H28" si="1">(D2+E2) -(F2+G2)</f>
        <v>9</v>
      </c>
      <c r="I2" s="532">
        <f t="shared" ref="I2:I28" si="2">F2+G2</f>
        <v>11</v>
      </c>
      <c r="J2" s="533"/>
      <c r="K2" s="534"/>
      <c r="L2" s="533"/>
      <c r="M2" s="533"/>
      <c r="N2" s="535" t="s">
        <v>268</v>
      </c>
      <c r="O2" s="536"/>
    </row>
    <row r="3" ht="22.5" customHeight="1">
      <c r="A3" s="537" t="s">
        <v>269</v>
      </c>
      <c r="B3" s="538"/>
      <c r="C3" s="539"/>
      <c r="D3" s="540"/>
      <c r="E3" s="541"/>
      <c r="F3" s="540">
        <v>8.0</v>
      </c>
      <c r="G3" s="541"/>
      <c r="H3" s="540">
        <f t="shared" si="1"/>
        <v>-8</v>
      </c>
      <c r="I3" s="540">
        <f t="shared" si="2"/>
        <v>8</v>
      </c>
      <c r="J3" s="542">
        <v>200000.0</v>
      </c>
      <c r="K3" s="543">
        <v>150000.0</v>
      </c>
      <c r="L3" s="544"/>
      <c r="M3" s="544"/>
      <c r="N3" s="545" t="s">
        <v>270</v>
      </c>
      <c r="O3" s="546"/>
    </row>
    <row r="4" ht="22.5" customHeight="1">
      <c r="A4" s="526" t="s">
        <v>271</v>
      </c>
      <c r="B4" s="547"/>
      <c r="C4" s="548"/>
      <c r="D4" s="532"/>
      <c r="E4" s="532">
        <v>68.0</v>
      </c>
      <c r="F4" s="532">
        <v>121.0</v>
      </c>
      <c r="G4" s="530"/>
      <c r="H4" s="532">
        <f t="shared" si="1"/>
        <v>-53</v>
      </c>
      <c r="I4" s="532">
        <f t="shared" si="2"/>
        <v>121</v>
      </c>
      <c r="J4" s="533"/>
      <c r="K4" s="534"/>
      <c r="L4" s="533"/>
      <c r="M4" s="533"/>
      <c r="N4" s="535" t="s">
        <v>268</v>
      </c>
      <c r="O4" s="536"/>
    </row>
    <row r="5" ht="22.5" customHeight="1">
      <c r="A5" s="537" t="s">
        <v>272</v>
      </c>
      <c r="B5" s="538"/>
      <c r="C5" s="549"/>
      <c r="D5" s="540"/>
      <c r="E5" s="541"/>
      <c r="F5" s="540">
        <v>52.0</v>
      </c>
      <c r="G5" s="541"/>
      <c r="H5" s="540">
        <f t="shared" si="1"/>
        <v>-52</v>
      </c>
      <c r="I5" s="540">
        <f t="shared" si="2"/>
        <v>52</v>
      </c>
      <c r="J5" s="544"/>
      <c r="K5" s="550"/>
      <c r="L5" s="544"/>
      <c r="M5" s="544"/>
      <c r="N5" s="551" t="s">
        <v>268</v>
      </c>
      <c r="O5" s="546"/>
    </row>
    <row r="6" ht="22.5" customHeight="1">
      <c r="A6" s="526" t="s">
        <v>273</v>
      </c>
      <c r="B6" s="547"/>
      <c r="C6" s="528"/>
      <c r="D6" s="532"/>
      <c r="E6" s="530"/>
      <c r="F6" s="530"/>
      <c r="G6" s="530"/>
      <c r="H6" s="532">
        <f t="shared" si="1"/>
        <v>0</v>
      </c>
      <c r="I6" s="532">
        <f t="shared" si="2"/>
        <v>0</v>
      </c>
      <c r="J6" s="533"/>
      <c r="K6" s="534"/>
      <c r="L6" s="533"/>
      <c r="M6" s="533"/>
      <c r="N6" s="535" t="s">
        <v>268</v>
      </c>
      <c r="O6" s="536"/>
    </row>
    <row r="7" ht="22.5" customHeight="1">
      <c r="A7" s="537" t="s">
        <v>274</v>
      </c>
      <c r="B7" s="538"/>
      <c r="C7" s="539"/>
      <c r="D7" s="540"/>
      <c r="E7" s="541"/>
      <c r="F7" s="540">
        <v>3.0</v>
      </c>
      <c r="G7" s="541"/>
      <c r="H7" s="540">
        <f t="shared" si="1"/>
        <v>-3</v>
      </c>
      <c r="I7" s="540">
        <f t="shared" si="2"/>
        <v>3</v>
      </c>
      <c r="J7" s="544"/>
      <c r="K7" s="550"/>
      <c r="L7" s="544"/>
      <c r="M7" s="544"/>
      <c r="N7" s="551" t="s">
        <v>268</v>
      </c>
      <c r="O7" s="546"/>
    </row>
    <row r="8" ht="22.5" customHeight="1">
      <c r="A8" s="526" t="s">
        <v>275</v>
      </c>
      <c r="B8" s="547"/>
      <c r="C8" s="548"/>
      <c r="D8" s="532"/>
      <c r="E8" s="530"/>
      <c r="F8" s="532">
        <v>4.0</v>
      </c>
      <c r="G8" s="530"/>
      <c r="H8" s="532">
        <f t="shared" si="1"/>
        <v>-4</v>
      </c>
      <c r="I8" s="532">
        <f t="shared" si="2"/>
        <v>4</v>
      </c>
      <c r="J8" s="533"/>
      <c r="K8" s="534"/>
      <c r="L8" s="533"/>
      <c r="M8" s="533"/>
      <c r="N8" s="535" t="s">
        <v>268</v>
      </c>
      <c r="O8" s="536"/>
    </row>
    <row r="9" ht="22.5" customHeight="1">
      <c r="A9" s="537" t="s">
        <v>276</v>
      </c>
      <c r="B9" s="538"/>
      <c r="C9" s="549"/>
      <c r="D9" s="540"/>
      <c r="E9" s="541"/>
      <c r="F9" s="540">
        <v>2.0</v>
      </c>
      <c r="G9" s="541"/>
      <c r="H9" s="540">
        <f t="shared" si="1"/>
        <v>-2</v>
      </c>
      <c r="I9" s="540">
        <f t="shared" si="2"/>
        <v>2</v>
      </c>
      <c r="J9" s="544"/>
      <c r="K9" s="550"/>
      <c r="L9" s="544"/>
      <c r="M9" s="544"/>
      <c r="N9" s="551" t="s">
        <v>268</v>
      </c>
      <c r="O9" s="546"/>
    </row>
    <row r="10" ht="22.5" customHeight="1">
      <c r="A10" s="526" t="s">
        <v>277</v>
      </c>
      <c r="B10" s="547"/>
      <c r="C10" s="548"/>
      <c r="D10" s="532"/>
      <c r="E10" s="530"/>
      <c r="F10" s="532">
        <v>7.0</v>
      </c>
      <c r="G10" s="530"/>
      <c r="H10" s="532">
        <f t="shared" si="1"/>
        <v>-7</v>
      </c>
      <c r="I10" s="532">
        <f t="shared" si="2"/>
        <v>7</v>
      </c>
      <c r="J10" s="533"/>
      <c r="K10" s="534"/>
      <c r="L10" s="533"/>
      <c r="M10" s="533"/>
      <c r="N10" s="535" t="s">
        <v>268</v>
      </c>
      <c r="O10" s="536"/>
    </row>
    <row r="11" ht="22.5" customHeight="1">
      <c r="A11" s="537" t="s">
        <v>278</v>
      </c>
      <c r="B11" s="538"/>
      <c r="C11" s="549"/>
      <c r="D11" s="540"/>
      <c r="E11" s="541"/>
      <c r="F11" s="540">
        <v>35.0</v>
      </c>
      <c r="G11" s="540">
        <v>1.0</v>
      </c>
      <c r="H11" s="540">
        <f t="shared" si="1"/>
        <v>-36</v>
      </c>
      <c r="I11" s="540">
        <f t="shared" si="2"/>
        <v>36</v>
      </c>
      <c r="J11" s="544"/>
      <c r="K11" s="550"/>
      <c r="L11" s="544"/>
      <c r="M11" s="544"/>
      <c r="N11" s="551" t="s">
        <v>268</v>
      </c>
      <c r="O11" s="546"/>
    </row>
    <row r="12" ht="22.5" customHeight="1">
      <c r="A12" s="526" t="s">
        <v>279</v>
      </c>
      <c r="B12" s="547"/>
      <c r="C12" s="548"/>
      <c r="D12" s="532"/>
      <c r="E12" s="530"/>
      <c r="F12" s="532">
        <v>27.0</v>
      </c>
      <c r="G12" s="532">
        <v>5.0</v>
      </c>
      <c r="H12" s="532">
        <f t="shared" si="1"/>
        <v>-32</v>
      </c>
      <c r="I12" s="532">
        <f t="shared" si="2"/>
        <v>32</v>
      </c>
      <c r="J12" s="533"/>
      <c r="K12" s="534"/>
      <c r="L12" s="533"/>
      <c r="M12" s="533"/>
      <c r="N12" s="552" t="s">
        <v>280</v>
      </c>
      <c r="O12" s="536"/>
    </row>
    <row r="13" ht="22.5" customHeight="1">
      <c r="A13" s="537" t="s">
        <v>281</v>
      </c>
      <c r="B13" s="538"/>
      <c r="C13" s="549"/>
      <c r="D13" s="540"/>
      <c r="E13" s="541"/>
      <c r="F13" s="540">
        <v>15.0</v>
      </c>
      <c r="G13" s="541"/>
      <c r="H13" s="540">
        <f t="shared" si="1"/>
        <v>-15</v>
      </c>
      <c r="I13" s="540">
        <f t="shared" si="2"/>
        <v>15</v>
      </c>
      <c r="J13" s="544"/>
      <c r="K13" s="550"/>
      <c r="L13" s="544"/>
      <c r="M13" s="544"/>
      <c r="N13" s="551" t="s">
        <v>268</v>
      </c>
      <c r="O13" s="546"/>
    </row>
    <row r="14" ht="22.5" customHeight="1">
      <c r="A14" s="526" t="s">
        <v>282</v>
      </c>
      <c r="B14" s="547"/>
      <c r="C14" s="548"/>
      <c r="D14" s="532"/>
      <c r="E14" s="530"/>
      <c r="F14" s="532">
        <v>7.0</v>
      </c>
      <c r="G14" s="530"/>
      <c r="H14" s="532">
        <f t="shared" si="1"/>
        <v>-7</v>
      </c>
      <c r="I14" s="532">
        <f t="shared" si="2"/>
        <v>7</v>
      </c>
      <c r="J14" s="533"/>
      <c r="K14" s="534"/>
      <c r="L14" s="533"/>
      <c r="M14" s="533"/>
      <c r="N14" s="535" t="s">
        <v>268</v>
      </c>
      <c r="O14" s="536"/>
    </row>
    <row r="15" ht="22.5" customHeight="1">
      <c r="A15" s="537" t="s">
        <v>283</v>
      </c>
      <c r="B15" s="538"/>
      <c r="C15" s="549"/>
      <c r="D15" s="540"/>
      <c r="E15" s="541"/>
      <c r="F15" s="540">
        <v>21.0</v>
      </c>
      <c r="G15" s="541"/>
      <c r="H15" s="540">
        <f t="shared" si="1"/>
        <v>-21</v>
      </c>
      <c r="I15" s="540">
        <f t="shared" si="2"/>
        <v>21</v>
      </c>
      <c r="J15" s="544"/>
      <c r="K15" s="550"/>
      <c r="L15" s="544"/>
      <c r="M15" s="544"/>
      <c r="N15" s="553" t="s">
        <v>280</v>
      </c>
      <c r="O15" s="546"/>
    </row>
    <row r="16" ht="22.5" customHeight="1">
      <c r="A16" s="526" t="s">
        <v>284</v>
      </c>
      <c r="B16" s="547"/>
      <c r="C16" s="548"/>
      <c r="D16" s="532"/>
      <c r="E16" s="530"/>
      <c r="F16" s="532">
        <v>6.0</v>
      </c>
      <c r="G16" s="530"/>
      <c r="H16" s="532">
        <f t="shared" si="1"/>
        <v>-6</v>
      </c>
      <c r="I16" s="532">
        <f t="shared" si="2"/>
        <v>6</v>
      </c>
      <c r="J16" s="533"/>
      <c r="K16" s="534"/>
      <c r="L16" s="533"/>
      <c r="M16" s="533"/>
      <c r="N16" s="554" t="s">
        <v>270</v>
      </c>
      <c r="O16" s="536"/>
    </row>
    <row r="17" ht="22.5" customHeight="1">
      <c r="A17" s="537" t="s">
        <v>285</v>
      </c>
      <c r="B17" s="538"/>
      <c r="C17" s="549"/>
      <c r="D17" s="540"/>
      <c r="E17" s="541"/>
      <c r="F17" s="540">
        <v>4.0</v>
      </c>
      <c r="G17" s="541"/>
      <c r="H17" s="540">
        <f t="shared" si="1"/>
        <v>-4</v>
      </c>
      <c r="I17" s="540">
        <f t="shared" si="2"/>
        <v>4</v>
      </c>
      <c r="J17" s="544"/>
      <c r="K17" s="550"/>
      <c r="L17" s="544"/>
      <c r="M17" s="544"/>
      <c r="N17" s="551" t="s">
        <v>268</v>
      </c>
      <c r="O17" s="546"/>
    </row>
    <row r="18" ht="22.5" customHeight="1">
      <c r="A18" s="526" t="s">
        <v>286</v>
      </c>
      <c r="B18" s="547"/>
      <c r="C18" s="548"/>
      <c r="D18" s="530"/>
      <c r="E18" s="530"/>
      <c r="F18" s="530"/>
      <c r="G18" s="530"/>
      <c r="H18" s="532">
        <f t="shared" si="1"/>
        <v>0</v>
      </c>
      <c r="I18" s="532">
        <f t="shared" si="2"/>
        <v>0</v>
      </c>
      <c r="J18" s="533"/>
      <c r="K18" s="534"/>
      <c r="L18" s="533"/>
      <c r="M18" s="533"/>
      <c r="N18" s="555"/>
      <c r="O18" s="536"/>
    </row>
    <row r="19" ht="22.5" customHeight="1">
      <c r="A19" s="537" t="s">
        <v>287</v>
      </c>
      <c r="B19" s="538"/>
      <c r="C19" s="549"/>
      <c r="D19" s="541"/>
      <c r="E19" s="541"/>
      <c r="F19" s="541"/>
      <c r="G19" s="541"/>
      <c r="H19" s="540">
        <f t="shared" si="1"/>
        <v>0</v>
      </c>
      <c r="I19" s="540">
        <f t="shared" si="2"/>
        <v>0</v>
      </c>
      <c r="J19" s="544"/>
      <c r="K19" s="556"/>
      <c r="L19" s="544"/>
      <c r="M19" s="544"/>
      <c r="N19" s="557"/>
      <c r="O19" s="546"/>
    </row>
    <row r="20" ht="22.5" customHeight="1">
      <c r="A20" s="526" t="s">
        <v>288</v>
      </c>
      <c r="B20" s="547"/>
      <c r="C20" s="548"/>
      <c r="D20" s="530"/>
      <c r="E20" s="530"/>
      <c r="F20" s="530"/>
      <c r="G20" s="530"/>
      <c r="H20" s="532">
        <f t="shared" si="1"/>
        <v>0</v>
      </c>
      <c r="I20" s="532">
        <f t="shared" si="2"/>
        <v>0</v>
      </c>
      <c r="J20" s="533"/>
      <c r="K20" s="558"/>
      <c r="L20" s="533"/>
      <c r="M20" s="533"/>
      <c r="N20" s="555"/>
      <c r="O20" s="536"/>
    </row>
    <row r="21" ht="22.5" customHeight="1">
      <c r="A21" s="537" t="s">
        <v>289</v>
      </c>
      <c r="B21" s="538"/>
      <c r="C21" s="549"/>
      <c r="D21" s="541"/>
      <c r="E21" s="541"/>
      <c r="F21" s="541"/>
      <c r="G21" s="541"/>
      <c r="H21" s="540">
        <f t="shared" si="1"/>
        <v>0</v>
      </c>
      <c r="I21" s="540">
        <f t="shared" si="2"/>
        <v>0</v>
      </c>
      <c r="J21" s="544"/>
      <c r="K21" s="556"/>
      <c r="L21" s="544"/>
      <c r="M21" s="544"/>
      <c r="N21" s="557"/>
      <c r="O21" s="546"/>
    </row>
    <row r="22" ht="22.5" customHeight="1">
      <c r="A22" s="526" t="s">
        <v>290</v>
      </c>
      <c r="B22" s="547"/>
      <c r="C22" s="548"/>
      <c r="D22" s="530"/>
      <c r="E22" s="530"/>
      <c r="F22" s="530"/>
      <c r="G22" s="530"/>
      <c r="H22" s="532">
        <f t="shared" si="1"/>
        <v>0</v>
      </c>
      <c r="I22" s="532">
        <f t="shared" si="2"/>
        <v>0</v>
      </c>
      <c r="J22" s="533"/>
      <c r="K22" s="558"/>
      <c r="L22" s="533"/>
      <c r="M22" s="533"/>
      <c r="N22" s="555"/>
      <c r="O22" s="536"/>
    </row>
    <row r="23" ht="22.5" customHeight="1">
      <c r="A23" s="537" t="s">
        <v>291</v>
      </c>
      <c r="B23" s="538"/>
      <c r="C23" s="549"/>
      <c r="D23" s="541"/>
      <c r="E23" s="541"/>
      <c r="F23" s="541"/>
      <c r="G23" s="541"/>
      <c r="H23" s="540">
        <f t="shared" si="1"/>
        <v>0</v>
      </c>
      <c r="I23" s="540">
        <f t="shared" si="2"/>
        <v>0</v>
      </c>
      <c r="J23" s="559"/>
      <c r="K23" s="556"/>
      <c r="L23" s="544"/>
      <c r="M23" s="544"/>
      <c r="N23" s="557"/>
      <c r="O23" s="546"/>
    </row>
    <row r="24" ht="22.5" customHeight="1">
      <c r="A24" s="526" t="s">
        <v>292</v>
      </c>
      <c r="B24" s="547"/>
      <c r="C24" s="555"/>
      <c r="D24" s="530"/>
      <c r="E24" s="530"/>
      <c r="F24" s="530"/>
      <c r="G24" s="530"/>
      <c r="H24" s="532">
        <f t="shared" si="1"/>
        <v>0</v>
      </c>
      <c r="I24" s="532">
        <f t="shared" si="2"/>
        <v>0</v>
      </c>
      <c r="J24" s="560"/>
      <c r="K24" s="558"/>
      <c r="L24" s="533"/>
      <c r="M24" s="533"/>
      <c r="N24" s="555"/>
      <c r="O24" s="536"/>
    </row>
    <row r="25" ht="22.5" customHeight="1">
      <c r="A25" s="537" t="s">
        <v>293</v>
      </c>
      <c r="B25" s="561"/>
      <c r="C25" s="557"/>
      <c r="D25" s="541"/>
      <c r="E25" s="541"/>
      <c r="F25" s="541"/>
      <c r="G25" s="541"/>
      <c r="H25" s="540">
        <f t="shared" si="1"/>
        <v>0</v>
      </c>
      <c r="I25" s="540">
        <f t="shared" si="2"/>
        <v>0</v>
      </c>
      <c r="J25" s="559"/>
      <c r="K25" s="556"/>
      <c r="L25" s="544"/>
      <c r="M25" s="544"/>
      <c r="N25" s="557"/>
      <c r="O25" s="546"/>
    </row>
    <row r="26" ht="22.5" customHeight="1">
      <c r="A26" s="526" t="s">
        <v>294</v>
      </c>
      <c r="B26" s="562"/>
      <c r="C26" s="555"/>
      <c r="D26" s="530"/>
      <c r="E26" s="530"/>
      <c r="F26" s="530"/>
      <c r="G26" s="530"/>
      <c r="H26" s="532">
        <f t="shared" si="1"/>
        <v>0</v>
      </c>
      <c r="I26" s="532">
        <f t="shared" si="2"/>
        <v>0</v>
      </c>
      <c r="J26" s="563"/>
      <c r="K26" s="564"/>
      <c r="L26" s="565"/>
      <c r="M26" s="565"/>
      <c r="N26" s="555"/>
      <c r="O26" s="536"/>
    </row>
    <row r="27" ht="22.5" customHeight="1">
      <c r="A27" s="537" t="s">
        <v>295</v>
      </c>
      <c r="B27" s="561"/>
      <c r="C27" s="557"/>
      <c r="D27" s="541"/>
      <c r="E27" s="541"/>
      <c r="F27" s="541"/>
      <c r="G27" s="541"/>
      <c r="H27" s="540">
        <f t="shared" si="1"/>
        <v>0</v>
      </c>
      <c r="I27" s="540">
        <f t="shared" si="2"/>
        <v>0</v>
      </c>
      <c r="J27" s="544"/>
      <c r="K27" s="550"/>
      <c r="L27" s="544"/>
      <c r="M27" s="544"/>
      <c r="N27" s="557"/>
      <c r="O27" s="546"/>
    </row>
    <row r="28" ht="22.5" customHeight="1">
      <c r="A28" s="566" t="s">
        <v>296</v>
      </c>
      <c r="B28" s="567"/>
      <c r="C28" s="568"/>
      <c r="D28" s="569"/>
      <c r="E28" s="569"/>
      <c r="F28" s="569"/>
      <c r="G28" s="569"/>
      <c r="H28" s="570">
        <f t="shared" si="1"/>
        <v>0</v>
      </c>
      <c r="I28" s="570">
        <f t="shared" si="2"/>
        <v>0</v>
      </c>
      <c r="J28" s="571"/>
      <c r="K28" s="572"/>
      <c r="L28" s="571"/>
      <c r="M28" s="571"/>
      <c r="N28" s="568"/>
      <c r="O28" s="573"/>
    </row>
  </sheetData>
  <dataValidations>
    <dataValidation type="custom" allowBlank="1" showDropDown="1" sqref="D2:M28">
      <formula1>AND(ISNUMBER(D2),(NOT(OR(NOT(ISERROR(DATEVALUE(D2))), AND(ISNUMBER(D2), LEFT(CELL("format", D2))="D")))))</formula1>
    </dataValidation>
    <dataValidation type="list" allowBlank="1" sqref="N2:N28">
      <formula1>"In stock,Temporarily unavailable,Re-purchase needed,Sold out"</formula1>
    </dataValidation>
    <dataValidation allowBlank="1" showDropDown="1" sqref="A2:B28 O2:O28"/>
    <dataValidation type="list" allowBlank="1" sqref="C2:C28">
      <formula1>"Snack,Drink,Candy,Combo"</formula1>
    </dataValidation>
  </dataValidations>
  <drawing r:id="rId2"/>
  <legacyDrawing r:id="rId3"/>
  <tableParts count="1">
    <tablePart r:id="rId5"/>
  </tableParts>
</worksheet>
</file>